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harts/chart2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bservatorio_cambio\excel_analyses\"/>
    </mc:Choice>
  </mc:AlternateContent>
  <xr:revisionPtr revIDLastSave="0" documentId="13_ncr:1_{E78D1126-49D8-478A-9391-44BBCBF77F64}" xr6:coauthVersionLast="47" xr6:coauthVersionMax="47" xr10:uidLastSave="{00000000-0000-0000-0000-000000000000}"/>
  <bookViews>
    <workbookView xWindow="20370" yWindow="-120" windowWidth="29040" windowHeight="15720" xr2:uid="{5EB9E833-D8C8-49B4-9370-D9EB0C799037}"/>
  </bookViews>
  <sheets>
    <sheet name="Main_Macros" sheetId="1" r:id="rId1"/>
    <sheet name="Euro" sheetId="2" r:id="rId2"/>
    <sheet name="Dolar" sheetId="3" r:id="rId3"/>
    <sheet name="Currency_Graphs" sheetId="8" r:id="rId4"/>
    <sheet name="Pivot_tables" sheetId="9" r:id="rId5"/>
    <sheet name="Graphs" sheetId="5" r:id="rId6"/>
  </sheets>
  <definedNames>
    <definedName name="dolar_currency">dolar_table[#All]</definedName>
    <definedName name="euro_currency">euro_table[#All]</definedName>
  </definedNames>
  <calcPr calcId="191029"/>
  <pivotCaches>
    <pivotCache cacheId="0" r:id="rId7"/>
    <pivotCache cacheId="1" r:id="rId8"/>
    <pivotCache cacheId="2" r:id="rId9"/>
    <pivotCache cacheId="3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1" l="1"/>
  <c r="B24" i="1" s="1"/>
  <c r="C30" i="1"/>
  <c r="B30" i="1" s="1"/>
</calcChain>
</file>

<file path=xl/sharedStrings.xml><?xml version="1.0" encoding="utf-8"?>
<sst xmlns="http://schemas.openxmlformats.org/spreadsheetml/2006/main" count="451" uniqueCount="34">
  <si>
    <t>id</t>
  </si>
  <si>
    <t>cotacao_compra</t>
  </si>
  <si>
    <t>cotacao_venda</t>
  </si>
  <si>
    <t>datahoracotacao</t>
  </si>
  <si>
    <t>variacao_venda</t>
  </si>
  <si>
    <t>variacao_compra</t>
  </si>
  <si>
    <t>variacao_pct_venda</t>
  </si>
  <si>
    <t>variacao_pct_compra</t>
  </si>
  <si>
    <t>tipoboletim</t>
  </si>
  <si>
    <t>url_API</t>
  </si>
  <si>
    <t>HOJE</t>
  </si>
  <si>
    <t>DÓLAR</t>
  </si>
  <si>
    <t>EURO</t>
  </si>
  <si>
    <t>INICIO_COTAÇÃO</t>
  </si>
  <si>
    <t>Fechamento</t>
  </si>
  <si>
    <t>Grand Total</t>
  </si>
  <si>
    <t>Row Labels</t>
  </si>
  <si>
    <t>Jan</t>
  </si>
  <si>
    <t>Feb</t>
  </si>
  <si>
    <t>Mar</t>
  </si>
  <si>
    <t>Apr</t>
  </si>
  <si>
    <t>May</t>
  </si>
  <si>
    <t>Max of cotacao_venda</t>
  </si>
  <si>
    <t>Min of cotacao_venda</t>
  </si>
  <si>
    <t>mês</t>
  </si>
  <si>
    <t>https://olinda.bcb.gov.br/olinda/servico/PTAX/versao/v1/odata/CotacaoMoedaPeriodo(moeda=@moeda,dataInicial=@dataInicial,dataFinalCotacao=@dataFinalCotacao)?@moeda='USD'&amp;@dataInicial='01-01-2026'&amp;@dataFinalCotacao='05-18-2026'&amp;$top=1000&amp;$filter=tipoBoletim eq 'Fechamento'&amp;$orderby=dataHoraCotacao&amp;$format=json&amp;$select=cotacaoCompra,cotacaoVenda,dataHoraCotacao,tipoBoletim</t>
  </si>
  <si>
    <t>https://olinda.bcb.gov.br/olinda/servico/PTAX/versao/v1/odata/CotacaoMoedaPeriodo(moeda=@moeda,dataInicial=@dataInicial,dataFinalCotacao=@dataFinalCotacao)?@moeda='EUR'&amp;@dataInicial='01-01-2026'&amp;@dataFinalCotacao='05-18-2026'&amp;$top=1000&amp;$filter=tipoBoletim eq 'Fechamento'&amp;$orderby=dataHoraCotacao&amp;$format=json&amp;$select=cotacaoCompra,cotacaoVenda,dataHoraCotacao,tipoBoletim</t>
  </si>
  <si>
    <t>Média Dólar</t>
  </si>
  <si>
    <t>Média Euro</t>
  </si>
  <si>
    <t>Menor Valor Dólar</t>
  </si>
  <si>
    <t>Maior Valor Dólar</t>
  </si>
  <si>
    <t>Menor Valor Euro</t>
  </si>
  <si>
    <t>Maior Valor Euro</t>
  </si>
  <si>
    <t>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</si>
</sst>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0000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2" applyAlignment="1">
      <alignment vertical="center"/>
    </xf>
    <xf numFmtId="0" fontId="0" fillId="0" borderId="3" xfId="0" applyBorder="1"/>
    <xf numFmtId="14" fontId="0" fillId="0" borderId="2" xfId="0" applyNumberFormat="1" applyBorder="1" applyAlignment="1">
      <alignment horizontal="center"/>
    </xf>
    <xf numFmtId="0" fontId="1" fillId="2" borderId="1" xfId="1"/>
    <xf numFmtId="0" fontId="0" fillId="0" borderId="2" xfId="0" applyBorder="1" applyAlignment="1">
      <alignment horizontal="center"/>
    </xf>
    <xf numFmtId="22" fontId="0" fillId="0" borderId="0" xfId="0" applyNumberForma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8" borderId="0" xfId="0" applyFill="1"/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8" borderId="0" xfId="0" applyFill="1" applyAlignment="1">
      <alignment horizontal="center"/>
    </xf>
  </cellXfs>
  <cellStyles count="3">
    <cellStyle name="Check Cell" xfId="1" builtinId="23"/>
    <cellStyle name="Hyperlink" xfId="2" builtinId="8"/>
    <cellStyle name="Normal" xfId="0" builtinId="0"/>
  </cellStyles>
  <dxfs count="6">
    <dxf>
      <numFmt numFmtId="2" formatCode="0.00"/>
    </dxf>
    <dxf>
      <numFmt numFmtId="2" formatCode="0.00"/>
    </dxf>
    <dxf>
      <numFmt numFmtId="164" formatCode="dd/mm/yyyy"/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numFmt numFmtId="164" formatCode="dd/mm/yyyy"/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B82B-46ED-AFB0-E2711350E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28912"/>
        <c:axId val="1653630352"/>
      </c:barChart>
      <c:catAx>
        <c:axId val="1653628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0352"/>
        <c:crosses val="autoZero"/>
        <c:auto val="1"/>
        <c:lblAlgn val="ctr"/>
        <c:lblOffset val="100"/>
        <c:noMultiLvlLbl val="0"/>
      </c:catAx>
      <c:valAx>
        <c:axId val="165363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28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C613-427E-B941-054A39963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1312"/>
        <c:axId val="1653631792"/>
      </c:barChart>
      <c:catAx>
        <c:axId val="165363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1792"/>
        <c:crosses val="autoZero"/>
        <c:auto val="1"/>
        <c:lblAlgn val="ctr"/>
        <c:lblOffset val="100"/>
        <c:noMultiLvlLbl val="0"/>
      </c:catAx>
      <c:valAx>
        <c:axId val="165363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1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7CE3-4D73-A648-20C1FB574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5632"/>
        <c:axId val="1653632752"/>
      </c:barChart>
      <c:catAx>
        <c:axId val="165363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2752"/>
        <c:crosses val="autoZero"/>
        <c:auto val="1"/>
        <c:lblAlgn val="ctr"/>
        <c:lblOffset val="100"/>
        <c:noMultiLvlLbl val="0"/>
      </c:catAx>
      <c:valAx>
        <c:axId val="165363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DD5D-43D1-AE25-412A8A59F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5152"/>
        <c:axId val="1653636592"/>
      </c:barChart>
      <c:catAx>
        <c:axId val="165363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6592"/>
        <c:crosses val="autoZero"/>
        <c:auto val="1"/>
        <c:lblAlgn val="ctr"/>
        <c:lblOffset val="100"/>
        <c:noMultiLvlLbl val="0"/>
      </c:catAx>
      <c:valAx>
        <c:axId val="165363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5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FCC-4E97-A631-69CD68CEB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7552"/>
        <c:axId val="1539130992"/>
      </c:barChart>
      <c:catAx>
        <c:axId val="1653637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30992"/>
        <c:crosses val="autoZero"/>
        <c:auto val="1"/>
        <c:lblAlgn val="ctr"/>
        <c:lblOffset val="100"/>
        <c:noMultiLvlLbl val="0"/>
      </c:catAx>
      <c:valAx>
        <c:axId val="1539130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7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24D9-4736-A649-C7A0E5403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9117072"/>
        <c:axId val="1539102192"/>
      </c:barChart>
      <c:catAx>
        <c:axId val="1539117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02192"/>
        <c:crosses val="autoZero"/>
        <c:auto val="1"/>
        <c:lblAlgn val="ctr"/>
        <c:lblOffset val="100"/>
        <c:noMultiLvlLbl val="0"/>
      </c:catAx>
      <c:valAx>
        <c:axId val="153910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9117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DB57-4C9B-A07D-B70E7997E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9108432"/>
        <c:axId val="1539108912"/>
      </c:barChart>
      <c:catAx>
        <c:axId val="153910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08912"/>
        <c:crosses val="autoZero"/>
        <c:auto val="1"/>
        <c:lblAlgn val="ctr"/>
        <c:lblOffset val="100"/>
        <c:noMultiLvlLbl val="0"/>
      </c:catAx>
      <c:valAx>
        <c:axId val="153910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9108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0E56-4B2D-B812-E994E6B77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02627344"/>
        <c:axId val="1653633712"/>
      </c:barChart>
      <c:catAx>
        <c:axId val="150262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3712"/>
        <c:crosses val="autoZero"/>
        <c:auto val="1"/>
        <c:lblAlgn val="ctr"/>
        <c:lblOffset val="100"/>
        <c:noMultiLvlLbl val="0"/>
      </c:catAx>
      <c:valAx>
        <c:axId val="1653633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02627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C71-4080-A58F-2C5616ABB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2672"/>
        <c:axId val="1929841232"/>
      </c:barChart>
      <c:catAx>
        <c:axId val="1929842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1232"/>
        <c:crosses val="autoZero"/>
        <c:auto val="1"/>
        <c:lblAlgn val="ctr"/>
        <c:lblOffset val="100"/>
        <c:noMultiLvlLbl val="0"/>
      </c:catAx>
      <c:valAx>
        <c:axId val="1929841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2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19C-40DD-B19D-A1A13EA4D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9792"/>
        <c:axId val="1929844592"/>
      </c:barChart>
      <c:catAx>
        <c:axId val="1929839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4592"/>
        <c:crosses val="autoZero"/>
        <c:auto val="1"/>
        <c:lblAlgn val="ctr"/>
        <c:lblOffset val="100"/>
        <c:noMultiLvlLbl val="0"/>
      </c:catAx>
      <c:valAx>
        <c:axId val="1929844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9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A106-4D06-AAA4-EC18C85AD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4512"/>
        <c:axId val="1929837872"/>
      </c:barChart>
      <c:catAx>
        <c:axId val="192983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37872"/>
        <c:crosses val="autoZero"/>
        <c:auto val="1"/>
        <c:lblAlgn val="ctr"/>
        <c:lblOffset val="100"/>
        <c:noMultiLvlLbl val="0"/>
      </c:catAx>
      <c:valAx>
        <c:axId val="192983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4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6125-468C-9217-002AD48A1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8352"/>
        <c:axId val="1929835472"/>
      </c:barChart>
      <c:catAx>
        <c:axId val="1929838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35472"/>
        <c:crosses val="autoZero"/>
        <c:auto val="1"/>
        <c:lblAlgn val="ctr"/>
        <c:lblOffset val="100"/>
        <c:noMultiLvlLbl val="0"/>
      </c:catAx>
      <c:valAx>
        <c:axId val="192983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1DB-4AE4-9F2E-A8277691A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6432"/>
        <c:axId val="1929848912"/>
      </c:barChart>
      <c:catAx>
        <c:axId val="192983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8912"/>
        <c:crosses val="autoZero"/>
        <c:auto val="1"/>
        <c:lblAlgn val="ctr"/>
        <c:lblOffset val="100"/>
        <c:noMultiLvlLbl val="0"/>
      </c:catAx>
      <c:valAx>
        <c:axId val="192984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6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0A2-4E80-A005-9ACA7F1CB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0272"/>
        <c:axId val="1929845552"/>
      </c:barChart>
      <c:catAx>
        <c:axId val="192984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5552"/>
        <c:crosses val="autoZero"/>
        <c:auto val="1"/>
        <c:lblAlgn val="ctr"/>
        <c:lblOffset val="100"/>
        <c:noMultiLvlLbl val="0"/>
      </c:catAx>
      <c:valAx>
        <c:axId val="192984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0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AE9-4745-B1CF-512F58FD9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0752"/>
        <c:axId val="1929841712"/>
      </c:barChart>
      <c:catAx>
        <c:axId val="192984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1712"/>
        <c:crosses val="autoZero"/>
        <c:auto val="1"/>
        <c:lblAlgn val="ctr"/>
        <c:lblOffset val="100"/>
        <c:noMultiLvlLbl val="0"/>
      </c:catAx>
      <c:valAx>
        <c:axId val="192984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0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0709-4CC1-877E-64DFF6AFA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52272"/>
        <c:axId val="1929851312"/>
      </c:barChart>
      <c:catAx>
        <c:axId val="192985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51312"/>
        <c:crosses val="autoZero"/>
        <c:auto val="1"/>
        <c:lblAlgn val="ctr"/>
        <c:lblOffset val="100"/>
        <c:noMultiLvlLbl val="0"/>
      </c:catAx>
      <c:valAx>
        <c:axId val="192985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52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3C37-4D20-8FD9-4085993D0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59472"/>
        <c:axId val="1929857072"/>
      </c:barChart>
      <c:catAx>
        <c:axId val="192985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57072"/>
        <c:crosses val="autoZero"/>
        <c:auto val="1"/>
        <c:lblAlgn val="ctr"/>
        <c:lblOffset val="100"/>
        <c:noMultiLvlLbl val="0"/>
      </c:catAx>
      <c:valAx>
        <c:axId val="1929857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59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85CB-41B9-9A67-99210159A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0432"/>
        <c:axId val="1929868112"/>
      </c:barChart>
      <c:catAx>
        <c:axId val="192986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8112"/>
        <c:crosses val="autoZero"/>
        <c:auto val="1"/>
        <c:lblAlgn val="ctr"/>
        <c:lblOffset val="100"/>
        <c:noMultiLvlLbl val="0"/>
      </c:catAx>
      <c:valAx>
        <c:axId val="192986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60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9A2-433F-8CDD-841960338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0512"/>
        <c:axId val="1929867152"/>
      </c:barChart>
      <c:catAx>
        <c:axId val="192987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7152"/>
        <c:crosses val="autoZero"/>
        <c:auto val="1"/>
        <c:lblAlgn val="ctr"/>
        <c:lblOffset val="100"/>
        <c:noMultiLvlLbl val="0"/>
      </c:catAx>
      <c:valAx>
        <c:axId val="192986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70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Menor Valor do Euro em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069-44D0-A7F5-565FECB3F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0032"/>
        <c:axId val="1929869552"/>
      </c:barChart>
      <c:catAx>
        <c:axId val="1929870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9552"/>
        <c:crosses val="autoZero"/>
        <c:auto val="1"/>
        <c:lblAlgn val="ctr"/>
        <c:lblOffset val="100"/>
        <c:noMultiLvlLbl val="0"/>
      </c:catAx>
      <c:valAx>
        <c:axId val="1929869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70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4CE8-4DAB-96AF-273B18D5B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3792"/>
        <c:axId val="1929875312"/>
      </c:barChart>
      <c:catAx>
        <c:axId val="192986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75312"/>
        <c:crosses val="autoZero"/>
        <c:auto val="1"/>
        <c:lblAlgn val="ctr"/>
        <c:lblOffset val="100"/>
        <c:noMultiLvlLbl val="0"/>
      </c:catAx>
      <c:valAx>
        <c:axId val="192987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63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[Advanced_Imported_Analyses.xlsm]Currency_Graphs!PivotMax_Euro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Currency_Graphs!$B$2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trendline>
            <c:trendlineType val="linear"/>
            <c:dispRSqr val="0"/>
            <c:dispEq val="0"/>
          </c:trendline>
          <c:cat>
            <c:strRef>
              <c:f>Currency_Graphs!$A$3:$A$8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Currency_Graphs!$B$3:$B$8</c:f>
              <c:numCache>
                <c:formatCode>0.00</c:formatCode>
                <c:ptCount val="5"/>
                <c:pt idx="0">
                  <c:v>5.4371999999999998</c:v>
                </c:pt>
                <c:pt idx="1">
                  <c:v>5.2587000000000002</c:v>
                </c:pt>
                <c:pt idx="2">
                  <c:v>5.2877999999999998</c:v>
                </c:pt>
                <c:pt idx="3">
                  <c:v>5.1654999999999998</c:v>
                </c:pt>
                <c:pt idx="4">
                  <c:v>5.0654000000000003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D1-41F0-934E-8524F2E8B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4752"/>
        <c:axId val="1929868592"/>
      </c:barChart>
      <c:catAx>
        <c:axId val="192986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8592"/>
        <c:crosses val="autoZero"/>
        <c:auto val="1"/>
        <c:lblAlgn val="ctr"/>
        <c:lblOffset val="100"/>
        <c:noMultiLvlLbl val="0"/>
      </c:catAx>
      <c:valAx>
        <c:axId val="19298685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9864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[Advanced_Imported_Analyses.xlsm]Currency_Graphs!PivotMax_Euro</c:name>
    <c:fmtId val="1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Currency_Graphs!$B$2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Currency_Graphs!$A$3:$A$8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Currency_Graphs!$B$3:$B$8</c:f>
              <c:numCache>
                <c:formatCode>0.00</c:formatCode>
                <c:ptCount val="5"/>
                <c:pt idx="0">
                  <c:v>5.4371999999999998</c:v>
                </c:pt>
                <c:pt idx="1">
                  <c:v>5.2587000000000002</c:v>
                </c:pt>
                <c:pt idx="2">
                  <c:v>5.2877999999999998</c:v>
                </c:pt>
                <c:pt idx="3">
                  <c:v>5.1654999999999998</c:v>
                </c:pt>
                <c:pt idx="4">
                  <c:v>5.0654000000000003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E9-439E-AE82-138E4B581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3872"/>
        <c:axId val="1929874832"/>
      </c:barChart>
      <c:catAx>
        <c:axId val="1929873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74832"/>
        <c:crosses val="autoZero"/>
        <c:auto val="1"/>
        <c:lblAlgn val="ctr"/>
        <c:lblOffset val="100"/>
        <c:noMultiLvlLbl val="0"/>
      </c:catAx>
      <c:valAx>
        <c:axId val="192987483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9873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[Advanced_Imported_Analyses.xlsm]Graphs!PivotTable1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Maior Valor do Euro De Cada Mês de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013103917565867E-2"/>
          <c:y val="0.17825495052236809"/>
          <c:w val="0.86891680762126955"/>
          <c:h val="0.671424322289987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Graphs!$B$3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Graphs!$A$4:$A$9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Graphs!$B$4:$B$9</c:f>
              <c:numCache>
                <c:formatCode>0.00</c:formatCode>
                <c:ptCount val="5"/>
                <c:pt idx="0">
                  <c:v>6.3898000000000001</c:v>
                </c:pt>
                <c:pt idx="1">
                  <c:v>6.2016</c:v>
                </c:pt>
                <c:pt idx="2">
                  <c:v>6.1238000000000001</c:v>
                </c:pt>
                <c:pt idx="3">
                  <c:v>5.9935</c:v>
                </c:pt>
                <c:pt idx="4">
                  <c:v>5.89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5FC-450B-818D-CF16614DF7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36216032"/>
        <c:axId val="1636233792"/>
      </c:barChart>
      <c:catAx>
        <c:axId val="163621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6233792"/>
        <c:crosses val="autoZero"/>
        <c:auto val="1"/>
        <c:lblAlgn val="ctr"/>
        <c:lblOffset val="100"/>
        <c:noMultiLvlLbl val="0"/>
      </c:catAx>
      <c:valAx>
        <c:axId val="163623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621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661172353455817"/>
          <c:y val="0.91355182735032536"/>
          <c:w val="0.14338827646544183"/>
          <c:h val="8.58527414117735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2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[Advanced_Imported_Analyses.xlsm]Graphs!PivotTable2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Menor Valor</a:t>
            </a:r>
            <a:r>
              <a:rPr lang="en-US" baseline="0"/>
              <a:t> do Euro em Cada Mês em 2026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013103917565867E-2"/>
          <c:y val="0.17825495052236809"/>
          <c:w val="0.86891680762126955"/>
          <c:h val="0.671424322289987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Graphs!$B$24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Graphs!$A$25:$A$30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Graphs!$B$25:$B$30</c:f>
              <c:numCache>
                <c:formatCode>0.00</c:formatCode>
                <c:ptCount val="5"/>
                <c:pt idx="0">
                  <c:v>6.1925999999999997</c:v>
                </c:pt>
                <c:pt idx="1">
                  <c:v>6.0631000000000004</c:v>
                </c:pt>
                <c:pt idx="2">
                  <c:v>5.9680999999999997</c:v>
                </c:pt>
                <c:pt idx="3">
                  <c:v>5.7984999999999998</c:v>
                </c:pt>
                <c:pt idx="4">
                  <c:v>5.7465000000000002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035-422D-B437-91B89140FF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36216032"/>
        <c:axId val="1636233792"/>
      </c:barChart>
      <c:catAx>
        <c:axId val="163621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6233792"/>
        <c:crosses val="autoZero"/>
        <c:auto val="1"/>
        <c:lblAlgn val="ctr"/>
        <c:lblOffset val="100"/>
        <c:noMultiLvlLbl val="0"/>
      </c:catAx>
      <c:valAx>
        <c:axId val="163623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621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661172353455817"/>
          <c:y val="0.91355182735032536"/>
          <c:w val="0.14338827646544183"/>
          <c:h val="8.58527414117735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2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13</xdr:row>
          <xdr:rowOff>0</xdr:rowOff>
        </xdr:from>
        <xdr:to>
          <xdr:col>7</xdr:col>
          <xdr:colOff>333375</xdr:colOff>
          <xdr:row>18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1. Update Urls Currency Quotes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19</xdr:row>
          <xdr:rowOff>171450</xdr:rowOff>
        </xdr:from>
        <xdr:to>
          <xdr:col>14</xdr:col>
          <xdr:colOff>457200</xdr:colOff>
          <xdr:row>25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6. Save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13</xdr:row>
          <xdr:rowOff>0</xdr:rowOff>
        </xdr:from>
        <xdr:to>
          <xdr:col>14</xdr:col>
          <xdr:colOff>342900</xdr:colOff>
          <xdr:row>17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3. Import Quotes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12</xdr:row>
          <xdr:rowOff>180975</xdr:rowOff>
        </xdr:from>
        <xdr:to>
          <xdr:col>11</xdr:col>
          <xdr:colOff>47625</xdr:colOff>
          <xdr:row>18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2. Go to Airflow Orchestrator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209550</xdr:colOff>
      <xdr:row>1</xdr:row>
      <xdr:rowOff>133350</xdr:rowOff>
    </xdr:from>
    <xdr:to>
      <xdr:col>2</xdr:col>
      <xdr:colOff>9525</xdr:colOff>
      <xdr:row>6</xdr:row>
      <xdr:rowOff>95250</xdr:rowOff>
    </xdr:to>
    <xdr:pic>
      <xdr:nvPicPr>
        <xdr:cNvPr id="3" name="Graphic 2" descr="Magnifying glass with solid fill">
          <a:extLst>
            <a:ext uri="{FF2B5EF4-FFF2-40B4-BE49-F238E27FC236}">
              <a16:creationId xmlns:a16="http://schemas.microsoft.com/office/drawing/2014/main" id="{FD82D020-38B9-0472-8E78-1A1FDBC13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19150" y="323850"/>
          <a:ext cx="914400" cy="914400"/>
        </a:xfrm>
        <a:prstGeom prst="rect">
          <a:avLst/>
        </a:prstGeom>
      </xdr:spPr>
    </xdr:pic>
    <xdr:clientData/>
  </xdr:twoCellAnchor>
  <xdr:twoCellAnchor>
    <xdr:from>
      <xdr:col>2</xdr:col>
      <xdr:colOff>923925</xdr:colOff>
      <xdr:row>1</xdr:row>
      <xdr:rowOff>180975</xdr:rowOff>
    </xdr:from>
    <xdr:to>
      <xdr:col>10</xdr:col>
      <xdr:colOff>161925</xdr:colOff>
      <xdr:row>6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E52F06D-E401-BCEB-6DDF-99907D7B753D}"/>
            </a:ext>
          </a:extLst>
        </xdr:cNvPr>
        <xdr:cNvSpPr txBox="1"/>
      </xdr:nvSpPr>
      <xdr:spPr>
        <a:xfrm>
          <a:off x="2647950" y="371475"/>
          <a:ext cx="4533900" cy="942975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9525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0"/>
          </a:gra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>
              <a:latin typeface="Bahnschrift Light Condensed" panose="020B0502040204020203" pitchFamily="34" charset="0"/>
            </a:rPr>
            <a:t>BANCO</a:t>
          </a:r>
          <a:r>
            <a:rPr lang="pt-BR" sz="2000" baseline="0">
              <a:latin typeface="Bahnschrift Light Condensed" panose="020B0502040204020203" pitchFamily="34" charset="0"/>
            </a:rPr>
            <a:t> CENTRAL CURRENCY </a:t>
          </a:r>
          <a:r>
            <a:rPr lang="pt-BR" sz="2000">
              <a:latin typeface="Bahnschrift Light Condensed" panose="020B0502040204020203" pitchFamily="34" charset="0"/>
            </a:rPr>
            <a:t>API CALLER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13</xdr:row>
          <xdr:rowOff>0</xdr:rowOff>
        </xdr:from>
        <xdr:to>
          <xdr:col>18</xdr:col>
          <xdr:colOff>200025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4. Create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20</xdr:row>
          <xdr:rowOff>0</xdr:rowOff>
        </xdr:from>
        <xdr:to>
          <xdr:col>10</xdr:col>
          <xdr:colOff>400050</xdr:colOff>
          <xdr:row>25</xdr:row>
          <xdr:rowOff>19050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5. Create PivotTables For All Currencies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C0948-81D5-28AE-C1A8-CC69161F69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0459CC-9E7D-91DA-409C-D0644364DF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AD0FA1-B809-52BD-CC6D-B79AEAE7E3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C363F77-95F4-E417-FD16-68C921AD1A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EB5D788-6BFD-151A-72AF-BD5F06CAE8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CB3E1CF-3CAB-8B70-1271-ED003D2841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6574814-8096-D057-52AE-03763D7E02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47EB7A9-5F92-456F-40CD-5612919C79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B1C05E0-27BE-CC98-3B25-F0C030706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8B92967-D673-2D95-8173-556F08214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7C833C8-5A7E-F779-3DA9-F78E7B3090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E94FB39-6AEF-A7D2-0748-08513E758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E66E47F-F0CB-B673-4BF2-D15F9F452D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C9E2F12-B2E0-470E-BA1A-B8D756D1D8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AC7A9E6-4396-E175-4B74-7B29F4311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4CAD012-C7B6-787F-6C35-E37076312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E28D3C4-E3F8-891C-8DD3-EEF3D7264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CCD7BB2D-5651-04B8-2B63-C93CCB6F0B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8E056CB6-CECC-AE75-4877-1F9607565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56AD1B54-9C76-20C1-B27B-045FD1A6A3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872AECBE-30F5-2CF3-C8DB-38249B68B0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8EE86229-4E0F-8CF7-DD69-DC6903321A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CC6B8ABD-ECFB-0DE9-7A67-A64280FE55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171449</xdr:colOff>
      <xdr:row>0</xdr:row>
      <xdr:rowOff>176211</xdr:rowOff>
    </xdr:from>
    <xdr:to>
      <xdr:col>13</xdr:col>
      <xdr:colOff>323849</xdr:colOff>
      <xdr:row>19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8D315D-60A6-68C6-E615-4DF4EDC823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152400</xdr:colOff>
      <xdr:row>21</xdr:row>
      <xdr:rowOff>19051</xdr:rowOff>
    </xdr:from>
    <xdr:to>
      <xdr:col>13</xdr:col>
      <xdr:colOff>333375</xdr:colOff>
      <xdr:row>40</xdr:row>
      <xdr:rowOff>152401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B7E8B7-D35A-C1B0-5DA6-1573931ADD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157.914104166666" createdVersion="8" refreshedVersion="8" minRefreshableVersion="3" recordCount="91" xr:uid="{1A5C08D5-53EB-4EBC-9D05-A8EF0B67B0A5}">
  <cacheSource type="worksheet">
    <worksheetSource ref="A1:I92" sheet="Euro"/>
  </cacheSource>
  <cacheFields count="11">
    <cacheField name="id" numFmtId="0">
      <sharedItems containsSemiMixedTypes="0" containsString="0" containsNumber="1" containsInteger="1" minValue="17727" maxValue="17817"/>
    </cacheField>
    <cacheField name="cotacao_compra" numFmtId="0">
      <sharedItems containsSemiMixedTypes="0" containsString="0" containsNumber="1" minValue="5.7453000000000003" maxValue="6.3879999999999999"/>
    </cacheField>
    <cacheField name="cotacao_venda" numFmtId="0">
      <sharedItems containsSemiMixedTypes="0" containsString="0" containsNumber="1" minValue="5.7465000000000002" maxValue="6.3898000000000001"/>
    </cacheField>
    <cacheField name="datahoracotacao" numFmtId="22">
      <sharedItems containsSemiMixedTypes="0" containsNonDate="0" containsDate="1" containsString="0" minDate="2026-01-02T13:03:33" maxDate="2026-05-15T13:08:27" count="91">
        <d v="2026-01-02T13:03:33"/>
        <d v="2026-01-05T13:10:15"/>
        <d v="2026-01-06T13:12:07"/>
        <d v="2026-01-07T13:06:27"/>
        <d v="2026-01-08T13:04:29"/>
        <d v="2026-01-09T13:09:29"/>
        <d v="2026-01-12T13:08:29"/>
        <d v="2026-01-13T13:08:54"/>
        <d v="2026-01-14T13:04:32"/>
        <d v="2026-01-15T13:05:26"/>
        <d v="2026-01-16T13:04:26"/>
        <d v="2026-01-19T13:07:28"/>
        <d v="2026-01-20T13:02:31"/>
        <d v="2026-01-21T13:04:33"/>
        <d v="2026-01-22T13:07:26"/>
        <d v="2026-01-23T13:09:26"/>
        <d v="2026-01-26T13:09:03"/>
        <d v="2026-01-27T13:08:26"/>
        <d v="2026-01-28T13:10:27"/>
        <d v="2026-01-29T13:08:23"/>
        <d v="2026-01-30T13:05:29"/>
        <d v="2026-02-02T13:07:28"/>
        <d v="2026-02-03T13:11:27"/>
        <d v="2026-02-04T13:10:29"/>
        <d v="2026-02-05T13:05:29"/>
        <d v="2026-02-06T13:10:27"/>
        <d v="2026-02-09T13:09:27"/>
        <d v="2026-02-10T13:10:27"/>
        <d v="2026-02-11T13:03:28"/>
        <d v="2026-02-12T13:04:38"/>
        <d v="2026-02-13T13:04:28"/>
        <d v="2026-02-18T15:40:29"/>
        <d v="2026-02-19T13:11:27"/>
        <d v="2026-02-20T13:02:26"/>
        <d v="2026-02-23T13:02:28"/>
        <d v="2026-02-24T13:04:29"/>
        <d v="2026-02-25T13:05:28"/>
        <d v="2026-02-26T13:06:33"/>
        <d v="2026-02-27T13:02:27"/>
        <d v="2026-03-02T13:09:26"/>
        <d v="2026-03-03T13:10:28"/>
        <d v="2026-03-04T13:07:27"/>
        <d v="2026-03-05T13:03:30"/>
        <d v="2026-03-06T13:10:28"/>
        <d v="2026-03-09T13:10:28"/>
        <d v="2026-03-10T13:09:26"/>
        <d v="2026-03-11T13:04:26"/>
        <d v="2026-03-12T13:10:29"/>
        <d v="2026-03-13T13:03:29"/>
        <d v="2026-03-16T13:08:25"/>
        <d v="2026-03-17T13:09:33"/>
        <d v="2026-03-18T13:08:33"/>
        <d v="2026-03-19T13:02:27"/>
        <d v="2026-03-20T13:11:28"/>
        <d v="2026-03-23T13:11:28"/>
        <d v="2026-03-24T13:09:29"/>
        <d v="2026-03-25T13:08:34"/>
        <d v="2026-03-26T13:11:09"/>
        <d v="2026-03-27T13:11:42"/>
        <d v="2026-03-30T13:10:28"/>
        <d v="2026-03-31T13:04:23"/>
        <d v="2026-04-01T13:06:28"/>
        <d v="2026-04-02T13:10:27"/>
        <d v="2026-04-06T13:06:25"/>
        <d v="2026-04-07T13:08:26"/>
        <d v="2026-04-08T13:02:29"/>
        <d v="2026-04-09T13:10:30"/>
        <d v="2026-04-10T13:04:25"/>
        <d v="2026-04-13T13:04:54"/>
        <d v="2026-04-14T13:03:27"/>
        <d v="2026-04-15T13:06:26"/>
        <d v="2026-04-16T13:03:29"/>
        <d v="2026-04-17T13:09:27"/>
        <d v="2026-04-20T13:02:26"/>
        <d v="2026-04-22T13:11:28"/>
        <d v="2026-04-23T13:03:26"/>
        <d v="2026-04-24T13:06:16"/>
        <d v="2026-04-27T13:06:14"/>
        <d v="2026-04-28T13:10:26"/>
        <d v="2026-04-29T13:11:25"/>
        <d v="2026-04-30T13:06:28"/>
        <d v="2026-05-04T13:09:26"/>
        <d v="2026-05-05T13:04:26"/>
        <d v="2026-05-06T13:08:28"/>
        <d v="2026-05-07T13:09:29"/>
        <d v="2026-05-08T13:05:32"/>
        <d v="2026-05-11T13:08:25"/>
        <d v="2026-05-12T13:11:27"/>
        <d v="2026-05-13T13:17:55"/>
        <d v="2026-05-14T13:03:15"/>
        <d v="2026-05-15T13:08:27"/>
      </sharedItems>
      <fieldGroup par="10"/>
    </cacheField>
    <cacheField name="variacao_venda" numFmtId="0">
      <sharedItems containsSemiMixedTypes="0" containsString="0" containsNumber="1" minValue="-0.08" maxValue="7.0000000000000007E-2"/>
    </cacheField>
    <cacheField name="variacao_compra" numFmtId="0">
      <sharedItems containsSemiMixedTypes="0" containsString="0" containsNumber="1" minValue="-0.08" maxValue="7.0000000000000007E-2"/>
    </cacheField>
    <cacheField name="variacao_pct_venda" numFmtId="0">
      <sharedItems containsSemiMixedTypes="0" containsString="0" containsNumber="1" minValue="-1.29" maxValue="1.26"/>
    </cacheField>
    <cacheField name="variacao_pct_compra" numFmtId="0">
      <sharedItems containsSemiMixedTypes="0" containsString="0" containsNumber="1" minValue="-1.29" maxValue="1.25"/>
    </cacheField>
    <cacheField name="tipoboletim" numFmtId="0">
      <sharedItems/>
    </cacheField>
    <cacheField name="Days (datahoracotacao)" numFmtId="0" databaseField="0">
      <fieldGroup base="3">
        <rangePr groupBy="days" startDate="2026-01-02T13:03:33" endDate="2026-05-15T13:08:27"/>
        <groupItems count="368">
          <s v="&lt;1/2/2026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15/2026"/>
        </groupItems>
      </fieldGroup>
    </cacheField>
    <cacheField name="Months (datahoracotacao)" numFmtId="0" databaseField="0">
      <fieldGroup base="3">
        <rangePr groupBy="months" startDate="2026-01-02T13:03:33" endDate="2026-05-15T13:08:27"/>
        <groupItems count="14">
          <s v="&lt;1/2/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15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160.958532175922" createdVersion="8" refreshedVersion="8" minRefreshableVersion="3" recordCount="92" xr:uid="{92E3347D-DD24-4870-8D48-68A312F0DC2D}">
  <cacheSource type="worksheet">
    <worksheetSource ref="A1:J93" sheet="Dolar"/>
  </cacheSource>
  <cacheFields count="10">
    <cacheField name="id" numFmtId="0">
      <sharedItems containsSemiMixedTypes="0" containsString="0" containsNumber="1" containsInteger="1" minValue="21791" maxValue="21882"/>
    </cacheField>
    <cacheField name="cotacao_compra" numFmtId="0">
      <sharedItems containsSemiMixedTypes="0" containsString="0" containsNumber="1" minValue="4.8967000000000001" maxValue="5.4366000000000003"/>
    </cacheField>
    <cacheField name="cotacao_venda" numFmtId="0">
      <sharedItems containsSemiMixedTypes="0" containsString="0" containsNumber="1" minValue="4.8973000000000004" maxValue="5.4371999999999998"/>
    </cacheField>
    <cacheField name="datahoracotacao" numFmtId="164">
      <sharedItems containsSemiMixedTypes="0" containsNonDate="0" containsDate="1" containsString="0" minDate="2026-01-02T13:03:33" maxDate="2026-05-18T13:04:26"/>
    </cacheField>
    <cacheField name="mês" numFmtId="0">
      <sharedItems count="5">
        <s v="Jan"/>
        <s v="Feb"/>
        <s v="Mar"/>
        <s v="Apr"/>
        <s v="May"/>
      </sharedItems>
    </cacheField>
    <cacheField name="variacao_venda" numFmtId="0">
      <sharedItems containsSemiMixedTypes="0" containsString="0" containsNumber="1" minValue="-0.08" maxValue="0.09"/>
    </cacheField>
    <cacheField name="variacao_compra" numFmtId="0">
      <sharedItems containsSemiMixedTypes="0" containsString="0" containsNumber="1" minValue="-0.08" maxValue="0.09"/>
    </cacheField>
    <cacheField name="variacao_pct_venda" numFmtId="0">
      <sharedItems containsSemiMixedTypes="0" containsString="0" containsNumber="1" minValue="-1.47" maxValue="1.7"/>
    </cacheField>
    <cacheField name="variacao_pct_compra" numFmtId="0">
      <sharedItems containsSemiMixedTypes="0" containsString="0" containsNumber="1" minValue="-1.47" maxValue="1.7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160.970943749999" createdVersion="8" refreshedVersion="8" minRefreshableVersion="3" recordCount="93" xr:uid="{FD33D897-BAFE-420C-BC83-5D64874137DB}">
  <cacheSource type="worksheet">
    <worksheetSource ref="A1:J93" sheet="Dolar"/>
  </cacheSource>
  <cacheFields count="10">
    <cacheField name="id" numFmtId="0">
      <sharedItems containsSemiMixedTypes="0" containsString="0" containsNumber="1" containsInteger="1" minValue="21" maxValue="21882"/>
    </cacheField>
    <cacheField name="cotacao_compra" numFmtId="0">
      <sharedItems containsSemiMixedTypes="0" containsString="0" containsNumber="1" minValue="3" maxValue="5.4366000000000003"/>
    </cacheField>
    <cacheField name="cotacao_venda" numFmtId="0">
      <sharedItems containsSemiMixedTypes="0" containsString="0" containsNumber="1" minValue="4" maxValue="5.4371999999999998"/>
    </cacheField>
    <cacheField name="datahoracotacao" numFmtId="164">
      <sharedItems containsSemiMixedTypes="0" containsNonDate="0" containsDate="1" containsString="0" minDate="2026-01-02T13:03:33" maxDate="2026-06-15T13:08:27"/>
    </cacheField>
    <cacheField name="mês" numFmtId="0">
      <sharedItems count="6">
        <s v="Jan"/>
        <s v="Feb"/>
        <s v="Mar"/>
        <s v="Apr"/>
        <s v="May"/>
        <s v="Jun"/>
      </sharedItems>
    </cacheField>
    <cacheField name="variacao_venda" numFmtId="0">
      <sharedItems containsSemiMixedTypes="0" containsString="0" containsNumber="1" minValue="-0.08" maxValue="0.09"/>
    </cacheField>
    <cacheField name="variacao_compra" numFmtId="0">
      <sharedItems containsSemiMixedTypes="0" containsString="0" containsNumber="1" minValue="-0.08" maxValue="0.09"/>
    </cacheField>
    <cacheField name="variacao_pct_venda" numFmtId="0">
      <sharedItems containsSemiMixedTypes="0" containsString="0" containsNumber="1" minValue="-1.47" maxValue="1.7"/>
    </cacheField>
    <cacheField name="variacao_pct_compra" numFmtId="0">
      <sharedItems containsSemiMixedTypes="0" containsString="0" containsNumber="1" minValue="-1.47" maxValue="1.7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160.970944212961" createdVersion="8" refreshedVersion="8" minRefreshableVersion="3" recordCount="92" xr:uid="{AE577BD4-18A7-4504-BF2D-CCE9FE1EBF64}">
  <cacheSource type="worksheet">
    <worksheetSource ref="A1:J93" sheet="Euro"/>
  </cacheSource>
  <cacheFields count="10">
    <cacheField name="id" numFmtId="0">
      <sharedItems containsSemiMixedTypes="0" containsString="0" containsNumber="1" containsInteger="1" minValue="18182" maxValue="18273"/>
    </cacheField>
    <cacheField name="cotacao_compra" numFmtId="0">
      <sharedItems containsSemiMixedTypes="0" containsString="0" containsNumber="1" minValue="5.7453000000000003" maxValue="6.3879999999999999"/>
    </cacheField>
    <cacheField name="cotacao_venda" numFmtId="0">
      <sharedItems containsSemiMixedTypes="0" containsString="0" containsNumber="1" minValue="5.7465000000000002" maxValue="6.3898000000000001"/>
    </cacheField>
    <cacheField name="datahoracotacao" numFmtId="164">
      <sharedItems containsSemiMixedTypes="0" containsNonDate="0" containsDate="1" containsString="0" minDate="2026-01-02T13:03:33" maxDate="2026-05-18T13:04:26"/>
    </cacheField>
    <cacheField name="mês" numFmtId="0">
      <sharedItems count="5">
        <s v="Jan"/>
        <s v="Feb"/>
        <s v="Mar"/>
        <s v="Apr"/>
        <s v="May"/>
      </sharedItems>
    </cacheField>
    <cacheField name="variacao_venda" numFmtId="0">
      <sharedItems containsSemiMixedTypes="0" containsString="0" containsNumber="1" minValue="-0.08" maxValue="7.0000000000000007E-2"/>
    </cacheField>
    <cacheField name="variacao_compra" numFmtId="0">
      <sharedItems containsSemiMixedTypes="0" containsString="0" containsNumber="1" minValue="-0.08" maxValue="7.0000000000000007E-2"/>
    </cacheField>
    <cacheField name="variacao_pct_venda" numFmtId="0">
      <sharedItems containsSemiMixedTypes="0" containsString="0" containsNumber="1" minValue="-1.29" maxValue="1.26"/>
    </cacheField>
    <cacheField name="variacao_pct_compra" numFmtId="0">
      <sharedItems containsSemiMixedTypes="0" containsString="0" containsNumber="1" minValue="-1.29" maxValue="1.25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">
  <r>
    <n v="17727"/>
    <n v="6.3879999999999999"/>
    <n v="6.3898000000000001"/>
    <x v="0"/>
    <n v="0"/>
    <n v="0"/>
    <n v="0"/>
    <n v="0"/>
    <s v="Fechamento"/>
  </r>
  <r>
    <n v="17728"/>
    <n v="6.3605"/>
    <n v="6.3617999999999997"/>
    <x v="1"/>
    <n v="-0.03"/>
    <n v="-0.03"/>
    <n v="-0.44"/>
    <n v="-0.43"/>
    <s v="Fechamento"/>
  </r>
  <r>
    <n v="17729"/>
    <n v="6.2908999999999997"/>
    <n v="6.2920999999999996"/>
    <x v="2"/>
    <n v="-7.0000000000000007E-2"/>
    <n v="-7.0000000000000007E-2"/>
    <n v="-1.1000000000000001"/>
    <n v="-1.0900000000000001"/>
    <s v="Fechamento"/>
  </r>
  <r>
    <n v="17730"/>
    <n v="6.2972999999999999"/>
    <n v="6.2991000000000001"/>
    <x v="3"/>
    <n v="0.01"/>
    <n v="0.01"/>
    <n v="0.11"/>
    <n v="0.1"/>
    <s v="Fechamento"/>
  </r>
  <r>
    <n v="17731"/>
    <n v="6.2820999999999998"/>
    <n v="6.2838000000000003"/>
    <x v="4"/>
    <n v="-0.02"/>
    <n v="-0.02"/>
    <n v="-0.24"/>
    <n v="-0.24"/>
    <s v="Fechamento"/>
  </r>
  <r>
    <n v="17732"/>
    <n v="6.2507999999999999"/>
    <n v="6.2526000000000002"/>
    <x v="5"/>
    <n v="-0.03"/>
    <n v="-0.03"/>
    <n v="-0.5"/>
    <n v="-0.5"/>
    <s v="Fechamento"/>
  </r>
  <r>
    <n v="17733"/>
    <n v="6.2789999999999999"/>
    <n v="6.2801999999999998"/>
    <x v="6"/>
    <n v="0.03"/>
    <n v="0.03"/>
    <n v="0.44"/>
    <n v="0.45"/>
    <s v="Fechamento"/>
  </r>
  <r>
    <n v="17734"/>
    <n v="6.2633000000000001"/>
    <n v="6.2651000000000003"/>
    <x v="7"/>
    <n v="-0.02"/>
    <n v="-0.02"/>
    <n v="-0.24"/>
    <n v="-0.25"/>
    <s v="Fechamento"/>
  </r>
  <r>
    <n v="17735"/>
    <n v="6.2713000000000001"/>
    <n v="6.2729999999999997"/>
    <x v="8"/>
    <n v="0.01"/>
    <n v="0.01"/>
    <n v="0.13"/>
    <n v="0.13"/>
    <s v="Fechamento"/>
  </r>
  <r>
    <n v="17736"/>
    <n v="6.2465000000000002"/>
    <n v="6.2477999999999998"/>
    <x v="9"/>
    <n v="-0.03"/>
    <n v="-0.02"/>
    <n v="-0.4"/>
    <n v="-0.4"/>
    <s v="Fechamento"/>
  </r>
  <r>
    <n v="17737"/>
    <n v="6.2366000000000001"/>
    <n v="6.2384000000000004"/>
    <x v="10"/>
    <n v="-0.01"/>
    <n v="-0.01"/>
    <n v="-0.15"/>
    <n v="-0.16"/>
    <s v="Fechamento"/>
  </r>
  <r>
    <n v="17738"/>
    <n v="6.2439999999999998"/>
    <n v="6.2457000000000003"/>
    <x v="11"/>
    <n v="0.01"/>
    <n v="0.01"/>
    <n v="0.12"/>
    <n v="0.12"/>
    <s v="Fechamento"/>
  </r>
  <r>
    <n v="17739"/>
    <n v="6.3071999999999999"/>
    <n v="6.3085000000000004"/>
    <x v="12"/>
    <n v="0.06"/>
    <n v="0.06"/>
    <n v="1.01"/>
    <n v="1.01"/>
    <s v="Fechamento"/>
  </r>
  <r>
    <n v="17740"/>
    <n v="6.2439"/>
    <n v="6.2450999999999999"/>
    <x v="13"/>
    <n v="-0.06"/>
    <n v="-0.06"/>
    <n v="-1"/>
    <n v="-1"/>
    <s v="Fechamento"/>
  </r>
  <r>
    <n v="17741"/>
    <n v="6.2321999999999997"/>
    <n v="6.2333999999999996"/>
    <x v="14"/>
    <n v="-0.01"/>
    <n v="-0.01"/>
    <n v="-0.19"/>
    <n v="-0.19"/>
    <s v="Fechamento"/>
  </r>
  <r>
    <n v="17742"/>
    <n v="6.2161999999999997"/>
    <n v="6.218"/>
    <x v="15"/>
    <n v="-0.02"/>
    <n v="-0.02"/>
    <n v="-0.25"/>
    <n v="-0.26"/>
    <s v="Fechamento"/>
  </r>
  <r>
    <n v="17743"/>
    <n v="6.2746000000000004"/>
    <n v="6.2763"/>
    <x v="16"/>
    <n v="0.06"/>
    <n v="0.06"/>
    <n v="0.94"/>
    <n v="0.94"/>
    <s v="Fechamento"/>
  </r>
  <r>
    <n v="17744"/>
    <n v="6.2601000000000004"/>
    <n v="6.2618999999999998"/>
    <x v="17"/>
    <n v="-0.01"/>
    <n v="-0.01"/>
    <n v="-0.23"/>
    <n v="-0.23"/>
    <s v="Fechamento"/>
  </r>
  <r>
    <n v="17745"/>
    <n v="6.1908000000000003"/>
    <n v="6.1925999999999997"/>
    <x v="18"/>
    <n v="-7.0000000000000007E-2"/>
    <n v="-7.0000000000000007E-2"/>
    <n v="-1.1100000000000001"/>
    <n v="-1.1100000000000001"/>
    <s v="Fechamento"/>
  </r>
  <r>
    <n v="17746"/>
    <n v="6.1966000000000001"/>
    <n v="6.1984000000000004"/>
    <x v="19"/>
    <n v="0.01"/>
    <n v="0.01"/>
    <n v="0.09"/>
    <n v="0.09"/>
    <s v="Fechamento"/>
  </r>
  <r>
    <n v="17747"/>
    <n v="6.22"/>
    <n v="6.2217000000000002"/>
    <x v="20"/>
    <n v="0.02"/>
    <n v="0.02"/>
    <n v="0.38"/>
    <n v="0.38"/>
    <s v="Fechamento"/>
  </r>
  <r>
    <n v="17748"/>
    <n v="6.2004000000000001"/>
    <n v="6.2016"/>
    <x v="21"/>
    <n v="-0.02"/>
    <n v="-0.02"/>
    <n v="-0.32"/>
    <n v="-0.32"/>
    <s v="Fechamento"/>
  </r>
  <r>
    <n v="17749"/>
    <n v="6.1694000000000004"/>
    <n v="6.1711999999999998"/>
    <x v="22"/>
    <n v="-0.03"/>
    <n v="-0.03"/>
    <n v="-0.49"/>
    <n v="-0.5"/>
    <s v="Fechamento"/>
  </r>
  <r>
    <n v="17750"/>
    <n v="6.1749999999999998"/>
    <n v="6.1768000000000001"/>
    <x v="23"/>
    <n v="0.01"/>
    <n v="0.01"/>
    <n v="0.09"/>
    <n v="0.09"/>
    <s v="Fechamento"/>
  </r>
  <r>
    <n v="17751"/>
    <n v="6.1985000000000001"/>
    <n v="6.2001999999999997"/>
    <x v="24"/>
    <n v="0.02"/>
    <n v="0.02"/>
    <n v="0.38"/>
    <n v="0.38"/>
    <s v="Fechamento"/>
  </r>
  <r>
    <n v="17752"/>
    <n v="6.1855000000000002"/>
    <n v="6.1867000000000001"/>
    <x v="25"/>
    <n v="-0.01"/>
    <n v="-0.01"/>
    <n v="-0.22"/>
    <n v="-0.21"/>
    <s v="Fechamento"/>
  </r>
  <r>
    <n v="17753"/>
    <n v="6.1867000000000001"/>
    <n v="6.1879999999999997"/>
    <x v="26"/>
    <n v="0"/>
    <n v="0"/>
    <n v="0.02"/>
    <n v="0.02"/>
    <s v="Fechamento"/>
  </r>
  <r>
    <n v="17754"/>
    <n v="6.1965000000000003"/>
    <n v="6.1982999999999997"/>
    <x v="27"/>
    <n v="0.01"/>
    <n v="0.01"/>
    <n v="0.17"/>
    <n v="0.16"/>
    <s v="Fechamento"/>
  </r>
  <r>
    <n v="17755"/>
    <n v="6.1459999999999999"/>
    <n v="6.1477000000000004"/>
    <x v="28"/>
    <n v="-0.05"/>
    <n v="-0.05"/>
    <n v="-0.82"/>
    <n v="-0.81"/>
    <s v="Fechamento"/>
  </r>
  <r>
    <n v="17756"/>
    <n v="6.1406999999999998"/>
    <n v="6.1425000000000001"/>
    <x v="29"/>
    <n v="-0.01"/>
    <n v="-0.01"/>
    <n v="-0.08"/>
    <n v="-0.09"/>
    <s v="Fechamento"/>
  </r>
  <r>
    <n v="17757"/>
    <n v="6.1943999999999999"/>
    <n v="6.1955999999999998"/>
    <x v="30"/>
    <n v="0.05"/>
    <n v="0.05"/>
    <n v="0.86"/>
    <n v="0.87"/>
    <s v="Fechamento"/>
  </r>
  <r>
    <n v="17758"/>
    <n v="6.1733000000000002"/>
    <n v="6.1745999999999999"/>
    <x v="31"/>
    <n v="-0.02"/>
    <n v="-0.02"/>
    <n v="-0.34"/>
    <n v="-0.34"/>
    <s v="Fechamento"/>
  </r>
  <r>
    <n v="17759"/>
    <n v="6.1456"/>
    <n v="6.1475"/>
    <x v="32"/>
    <n v="-0.03"/>
    <n v="-0.03"/>
    <n v="-0.44"/>
    <n v="-0.45"/>
    <s v="Fechamento"/>
  </r>
  <r>
    <n v="17760"/>
    <n v="6.1292"/>
    <n v="6.1310000000000002"/>
    <x v="33"/>
    <n v="-0.02"/>
    <n v="-0.02"/>
    <n v="-0.27"/>
    <n v="-0.27"/>
    <s v="Fechamento"/>
  </r>
  <r>
    <n v="17761"/>
    <n v="6.0891000000000002"/>
    <n v="6.0903"/>
    <x v="34"/>
    <n v="-0.04"/>
    <n v="-0.04"/>
    <n v="-0.66"/>
    <n v="-0.65"/>
    <s v="Fechamento"/>
  </r>
  <r>
    <n v="17762"/>
    <n v="6.0827999999999998"/>
    <n v="6.0845000000000002"/>
    <x v="35"/>
    <n v="-0.01"/>
    <n v="-0.01"/>
    <n v="-0.1"/>
    <n v="-0.1"/>
    <s v="Fechamento"/>
  </r>
  <r>
    <n v="17763"/>
    <n v="6.0697000000000001"/>
    <n v="6.0709"/>
    <x v="36"/>
    <n v="-0.01"/>
    <n v="-0.01"/>
    <n v="-0.22"/>
    <n v="-0.22"/>
    <s v="Fechamento"/>
  </r>
  <r>
    <n v="17764"/>
    <n v="6.0613000000000001"/>
    <n v="6.0631000000000004"/>
    <x v="37"/>
    <n v="-0.01"/>
    <n v="-0.01"/>
    <n v="-0.13"/>
    <n v="-0.14000000000000001"/>
    <s v="Fechamento"/>
  </r>
  <r>
    <n v="17765"/>
    <n v="6.0762"/>
    <n v="6.0795000000000003"/>
    <x v="38"/>
    <n v="0.02"/>
    <n v="0.01"/>
    <n v="0.27"/>
    <n v="0.25"/>
    <s v="Fechamento"/>
  </r>
  <r>
    <n v="17766"/>
    <n v="6.0724999999999998"/>
    <n v="6.0742000000000003"/>
    <x v="39"/>
    <n v="-0.01"/>
    <n v="0"/>
    <n v="-0.09"/>
    <n v="-0.06"/>
    <s v="Fechamento"/>
  </r>
  <r>
    <n v="17767"/>
    <n v="6.1180000000000003"/>
    <n v="6.1196999999999999"/>
    <x v="40"/>
    <n v="0.05"/>
    <n v="0.05"/>
    <n v="0.75"/>
    <n v="0.75"/>
    <s v="Fechamento"/>
  </r>
  <r>
    <n v="17768"/>
    <n v="6.0621999999999998"/>
    <n v="6.0639000000000003"/>
    <x v="41"/>
    <n v="-0.06"/>
    <n v="-0.06"/>
    <n v="-0.91"/>
    <n v="-0.91"/>
    <s v="Fechamento"/>
  </r>
  <r>
    <n v="17769"/>
    <n v="6.0736999999999997"/>
    <n v="6.0749000000000004"/>
    <x v="42"/>
    <n v="0.01"/>
    <n v="0.01"/>
    <n v="0.18"/>
    <n v="0.19"/>
    <s v="Fechamento"/>
  </r>
  <r>
    <n v="17770"/>
    <n v="6.1219999999999999"/>
    <n v="6.1238000000000001"/>
    <x v="43"/>
    <n v="0.05"/>
    <n v="0.05"/>
    <n v="0.8"/>
    <n v="0.8"/>
    <s v="Fechamento"/>
  </r>
  <r>
    <n v="17771"/>
    <n v="6.0433000000000003"/>
    <n v="6.0445000000000002"/>
    <x v="44"/>
    <n v="-0.08"/>
    <n v="-0.08"/>
    <n v="-1.29"/>
    <n v="-1.29"/>
    <s v="Fechamento"/>
  </r>
  <r>
    <n v="17772"/>
    <n v="6.0111999999999997"/>
    <n v="6.0129000000000001"/>
    <x v="45"/>
    <n v="-0.03"/>
    <n v="-0.03"/>
    <n v="-0.52"/>
    <n v="-0.53"/>
    <s v="Fechamento"/>
  </r>
  <r>
    <n v="17773"/>
    <n v="5.9668999999999999"/>
    <n v="5.9680999999999997"/>
    <x v="46"/>
    <n v="-0.04"/>
    <n v="-0.04"/>
    <n v="-0.75"/>
    <n v="-0.74"/>
    <s v="Fechamento"/>
  </r>
  <r>
    <n v="17774"/>
    <n v="5.9961000000000002"/>
    <n v="5.9977999999999998"/>
    <x v="47"/>
    <n v="0.03"/>
    <n v="0.03"/>
    <n v="0.5"/>
    <n v="0.49"/>
    <s v="Fechamento"/>
  </r>
  <r>
    <n v="17775"/>
    <n v="6.0115999999999996"/>
    <n v="6.0128000000000004"/>
    <x v="48"/>
    <n v="0.02"/>
    <n v="0.02"/>
    <n v="0.25"/>
    <n v="0.26"/>
    <s v="Fechamento"/>
  </r>
  <r>
    <n v="17776"/>
    <n v="6.0457999999999998"/>
    <n v="6.0476000000000001"/>
    <x v="49"/>
    <n v="0.03"/>
    <n v="0.03"/>
    <n v="0.57999999999999996"/>
    <n v="0.56999999999999995"/>
    <s v="Fechamento"/>
  </r>
  <r>
    <n v="17777"/>
    <n v="5.9943"/>
    <n v="5.9961000000000002"/>
    <x v="50"/>
    <n v="-0.05"/>
    <n v="-0.05"/>
    <n v="-0.85"/>
    <n v="-0.85"/>
    <s v="Fechamento"/>
  </r>
  <r>
    <n v="17778"/>
    <n v="5.9984000000000002"/>
    <n v="6.0002000000000004"/>
    <x v="51"/>
    <n v="0"/>
    <n v="0"/>
    <n v="7.0000000000000007E-2"/>
    <n v="7.0000000000000007E-2"/>
    <s v="Fechamento"/>
  </r>
  <r>
    <n v="17779"/>
    <n v="6.0537000000000001"/>
    <n v="6.0553999999999997"/>
    <x v="52"/>
    <n v="0.06"/>
    <n v="0.06"/>
    <n v="0.92"/>
    <n v="0.92"/>
    <s v="Fechamento"/>
  </r>
  <r>
    <n v="17780"/>
    <n v="6.0933999999999999"/>
    <n v="6.0952000000000002"/>
    <x v="53"/>
    <n v="0.04"/>
    <n v="0.04"/>
    <n v="0.66"/>
    <n v="0.66"/>
    <s v="Fechamento"/>
  </r>
  <r>
    <n v="17781"/>
    <n v="6.0734000000000004"/>
    <n v="6.0757000000000003"/>
    <x v="54"/>
    <n v="-0.02"/>
    <n v="-0.02"/>
    <n v="-0.32"/>
    <n v="-0.33"/>
    <s v="Fechamento"/>
  </r>
  <r>
    <n v="17782"/>
    <n v="6.0887000000000002"/>
    <n v="6.0903999999999998"/>
    <x v="55"/>
    <n v="0.01"/>
    <n v="0.02"/>
    <n v="0.24"/>
    <n v="0.25"/>
    <s v="Fechamento"/>
  </r>
  <r>
    <n v="17783"/>
    <n v="6.0469999999999997"/>
    <n v="6.0481999999999996"/>
    <x v="56"/>
    <n v="-0.04"/>
    <n v="-0.04"/>
    <n v="-0.69"/>
    <n v="-0.68"/>
    <s v="Fechamento"/>
  </r>
  <r>
    <n v="17784"/>
    <n v="6.0362"/>
    <n v="6.0373999999999999"/>
    <x v="57"/>
    <n v="-0.01"/>
    <n v="-0.01"/>
    <n v="-0.18"/>
    <n v="-0.18"/>
    <s v="Fechamento"/>
  </r>
  <r>
    <n v="17785"/>
    <n v="6.0324999999999998"/>
    <n v="6.0336999999999996"/>
    <x v="58"/>
    <n v="0"/>
    <n v="0"/>
    <n v="-0.06"/>
    <n v="-0.06"/>
    <s v="Fechamento"/>
  </r>
  <r>
    <n v="17786"/>
    <n v="5.9958"/>
    <n v="5.9969999999999999"/>
    <x v="59"/>
    <n v="-0.04"/>
    <n v="-0.04"/>
    <n v="-0.61"/>
    <n v="-0.61"/>
    <s v="Fechamento"/>
  </r>
  <r>
    <n v="17787"/>
    <n v="6.01"/>
    <n v="6.0117000000000003"/>
    <x v="60"/>
    <n v="0.01"/>
    <n v="0.01"/>
    <n v="0.25"/>
    <n v="0.24"/>
    <s v="Fechamento"/>
  </r>
  <r>
    <n v="17788"/>
    <n v="5.9923000000000002"/>
    <n v="5.9935"/>
    <x v="61"/>
    <n v="-0.02"/>
    <n v="-0.02"/>
    <n v="-0.3"/>
    <n v="-0.28999999999999998"/>
    <s v="Fechamento"/>
  </r>
  <r>
    <n v="17789"/>
    <n v="5.9629000000000003"/>
    <n v="5.9641000000000002"/>
    <x v="62"/>
    <n v="-0.03"/>
    <n v="-0.03"/>
    <n v="-0.49"/>
    <n v="-0.49"/>
    <s v="Fechamento"/>
  </r>
  <r>
    <n v="17790"/>
    <n v="5.9476000000000004"/>
    <n v="5.9499000000000004"/>
    <x v="63"/>
    <n v="-0.01"/>
    <n v="-0.02"/>
    <n v="-0.24"/>
    <n v="-0.26"/>
    <s v="Fechamento"/>
  </r>
  <r>
    <n v="17791"/>
    <n v="5.9728000000000003"/>
    <n v="5.9740000000000002"/>
    <x v="64"/>
    <n v="0.02"/>
    <n v="0.03"/>
    <n v="0.41"/>
    <n v="0.42"/>
    <s v="Fechamento"/>
  </r>
  <r>
    <n v="17792"/>
    <n v="5.9467999999999996"/>
    <n v="5.9485999999999999"/>
    <x v="65"/>
    <n v="-0.03"/>
    <n v="-0.03"/>
    <n v="-0.43"/>
    <n v="-0.44"/>
    <s v="Fechamento"/>
  </r>
  <r>
    <n v="17793"/>
    <n v="5.9478999999999997"/>
    <n v="5.9490999999999996"/>
    <x v="66"/>
    <n v="0"/>
    <n v="0"/>
    <n v="0.01"/>
    <n v="0.02"/>
    <s v="Fechamento"/>
  </r>
  <r>
    <n v="17794"/>
    <n v="5.8865999999999996"/>
    <n v="5.8883000000000001"/>
    <x v="67"/>
    <n v="-0.06"/>
    <n v="-0.06"/>
    <n v="-1.02"/>
    <n v="-1.03"/>
    <s v="Fechamento"/>
  </r>
  <r>
    <n v="17795"/>
    <n v="5.8823999999999996"/>
    <n v="5.8841000000000001"/>
    <x v="68"/>
    <n v="0"/>
    <n v="0"/>
    <n v="-7.0000000000000007E-2"/>
    <n v="-7.0000000000000007E-2"/>
    <s v="Fechamento"/>
  </r>
  <r>
    <n v="17796"/>
    <n v="5.8708999999999998"/>
    <n v="5.8726000000000003"/>
    <x v="69"/>
    <n v="-0.01"/>
    <n v="-0.01"/>
    <n v="-0.2"/>
    <n v="-0.2"/>
    <s v="Fechamento"/>
  </r>
  <r>
    <n v="17797"/>
    <n v="5.8898000000000001"/>
    <n v="5.891"/>
    <x v="70"/>
    <n v="0.02"/>
    <n v="0.02"/>
    <n v="0.31"/>
    <n v="0.32"/>
    <s v="Fechamento"/>
  </r>
  <r>
    <n v="17798"/>
    <n v="5.8906000000000001"/>
    <n v="5.8922999999999996"/>
    <x v="71"/>
    <n v="0"/>
    <n v="0"/>
    <n v="0.02"/>
    <n v="0.01"/>
    <s v="Fechamento"/>
  </r>
  <r>
    <n v="17799"/>
    <n v="5.8632999999999997"/>
    <n v="5.8644999999999996"/>
    <x v="72"/>
    <n v="-0.03"/>
    <n v="-0.03"/>
    <n v="-0.47"/>
    <n v="-0.46"/>
    <s v="Fechamento"/>
  </r>
  <r>
    <n v="17800"/>
    <n v="5.8728999999999996"/>
    <n v="5.8741000000000003"/>
    <x v="73"/>
    <n v="0.01"/>
    <n v="0.01"/>
    <n v="0.16"/>
    <n v="0.16"/>
    <s v="Fechamento"/>
  </r>
  <r>
    <n v="17801"/>
    <n v="5.8151999999999999"/>
    <n v="5.8163999999999998"/>
    <x v="74"/>
    <n v="-0.06"/>
    <n v="-0.06"/>
    <n v="-0.98"/>
    <n v="-0.98"/>
    <s v="Fechamento"/>
  </r>
  <r>
    <n v="17802"/>
    <n v="5.7968000000000002"/>
    <n v="5.7984999999999998"/>
    <x v="75"/>
    <n v="-0.02"/>
    <n v="-0.02"/>
    <n v="-0.31"/>
    <n v="-0.32"/>
    <s v="Fechamento"/>
  </r>
  <r>
    <n v="17803"/>
    <n v="5.8674999999999997"/>
    <n v="5.8692000000000002"/>
    <x v="76"/>
    <n v="7.0000000000000007E-2"/>
    <n v="7.0000000000000007E-2"/>
    <n v="1.22"/>
    <n v="1.22"/>
    <s v="Fechamento"/>
  </r>
  <r>
    <n v="17804"/>
    <n v="5.8291000000000004"/>
    <n v="5.8303000000000003"/>
    <x v="77"/>
    <n v="-0.04"/>
    <n v="-0.04"/>
    <n v="-0.66"/>
    <n v="-0.65"/>
    <s v="Fechamento"/>
  </r>
  <r>
    <n v="17805"/>
    <n v="5.8419999999999996"/>
    <n v="5.8432000000000004"/>
    <x v="78"/>
    <n v="0.01"/>
    <n v="0.01"/>
    <n v="0.22"/>
    <n v="0.22"/>
    <s v="Fechamento"/>
  </r>
  <r>
    <n v="17806"/>
    <n v="5.8445"/>
    <n v="5.8456999999999999"/>
    <x v="79"/>
    <n v="0"/>
    <n v="0"/>
    <n v="0.04"/>
    <n v="0.04"/>
    <s v="Fechamento"/>
  </r>
  <r>
    <n v="17807"/>
    <n v="5.8498999999999999"/>
    <n v="5.8510999999999997"/>
    <x v="80"/>
    <n v="0.01"/>
    <n v="0.01"/>
    <n v="0.09"/>
    <n v="0.09"/>
    <s v="Fechamento"/>
  </r>
  <r>
    <n v="17808"/>
    <n v="5.7995000000000001"/>
    <n v="5.8007"/>
    <x v="81"/>
    <n v="-0.05"/>
    <n v="-0.05"/>
    <n v="-0.86"/>
    <n v="-0.86"/>
    <s v="Fechamento"/>
  </r>
  <r>
    <n v="17809"/>
    <n v="5.7636000000000003"/>
    <n v="5.7648000000000001"/>
    <x v="82"/>
    <n v="-0.04"/>
    <n v="-0.04"/>
    <n v="-0.62"/>
    <n v="-0.62"/>
    <s v="Fechamento"/>
  </r>
  <r>
    <n v="17810"/>
    <n v="5.79"/>
    <n v="5.7911999999999999"/>
    <x v="83"/>
    <n v="0.03"/>
    <n v="0.03"/>
    <n v="0.46"/>
    <n v="0.46"/>
    <s v="Fechamento"/>
  </r>
  <r>
    <n v="17811"/>
    <n v="5.7831999999999999"/>
    <n v="5.7843999999999998"/>
    <x v="84"/>
    <n v="-0.01"/>
    <n v="-0.01"/>
    <n v="-0.12"/>
    <n v="-0.12"/>
    <s v="Fechamento"/>
  </r>
  <r>
    <n v="17812"/>
    <n v="5.7675000000000001"/>
    <n v="5.7690999999999999"/>
    <x v="85"/>
    <n v="-0.02"/>
    <n v="-0.02"/>
    <n v="-0.26"/>
    <n v="-0.27"/>
    <s v="Fechamento"/>
  </r>
  <r>
    <n v="17813"/>
    <n v="5.7678000000000003"/>
    <n v="5.7694999999999999"/>
    <x v="86"/>
    <n v="0"/>
    <n v="0"/>
    <n v="0.01"/>
    <n v="0.01"/>
    <s v="Fechamento"/>
  </r>
  <r>
    <n v="17814"/>
    <n v="5.7453000000000003"/>
    <n v="5.7465000000000002"/>
    <x v="87"/>
    <n v="-0.02"/>
    <n v="-0.02"/>
    <n v="-0.4"/>
    <n v="-0.39"/>
    <s v="Fechamento"/>
  </r>
  <r>
    <n v="17815"/>
    <n v="5.7510000000000003"/>
    <n v="5.7522000000000002"/>
    <x v="88"/>
    <n v="0.01"/>
    <n v="0.01"/>
    <n v="0.1"/>
    <n v="0.1"/>
    <s v="Fechamento"/>
  </r>
  <r>
    <n v="17816"/>
    <n v="5.8155000000000001"/>
    <n v="5.8167"/>
    <x v="89"/>
    <n v="0.06"/>
    <n v="0.06"/>
    <n v="1.1200000000000001"/>
    <n v="1.1200000000000001"/>
    <s v="Fechamento"/>
  </r>
  <r>
    <n v="17817"/>
    <n v="5.8883000000000001"/>
    <n v="5.89"/>
    <x v="90"/>
    <n v="7.0000000000000007E-2"/>
    <n v="7.0000000000000007E-2"/>
    <n v="1.26"/>
    <n v="1.25"/>
    <s v="Fechament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">
  <r>
    <n v="21791"/>
    <n v="5.4366000000000003"/>
    <n v="5.4371999999999998"/>
    <d v="2026-01-02T13:03:33"/>
    <x v="0"/>
    <n v="0"/>
    <n v="0"/>
    <n v="0"/>
    <n v="0"/>
    <s v="Fechamento"/>
  </r>
  <r>
    <n v="21792"/>
    <n v="5.4344999999999999"/>
    <n v="5.4351000000000003"/>
    <d v="2026-01-05T13:10:15"/>
    <x v="0"/>
    <n v="0"/>
    <n v="0"/>
    <n v="-0.04"/>
    <n v="-0.04"/>
    <s v="Fechamento"/>
  </r>
  <r>
    <n v="21793"/>
    <n v="5.3791000000000002"/>
    <n v="5.3796999999999997"/>
    <d v="2026-01-06T13:12:07"/>
    <x v="0"/>
    <n v="-0.06"/>
    <n v="-0.06"/>
    <n v="-1.02"/>
    <n v="-1.02"/>
    <s v="Fechamento"/>
  </r>
  <r>
    <n v="21794"/>
    <n v="5.3874000000000004"/>
    <n v="5.3879999999999999"/>
    <d v="2026-01-07T13:06:27"/>
    <x v="0"/>
    <n v="0.01"/>
    <n v="0.01"/>
    <n v="0.15"/>
    <n v="0.15"/>
    <s v="Fechamento"/>
  </r>
  <r>
    <n v="21795"/>
    <n v="5.3853999999999997"/>
    <n v="5.3860000000000001"/>
    <d v="2026-01-08T13:04:29"/>
    <x v="0"/>
    <n v="0"/>
    <n v="0"/>
    <n v="-0.04"/>
    <n v="-0.04"/>
    <s v="Fechamento"/>
  </r>
  <r>
    <n v="21796"/>
    <n v="5.3700999999999999"/>
    <n v="5.3707000000000003"/>
    <d v="2026-01-09T13:09:29"/>
    <x v="0"/>
    <n v="-0.02"/>
    <n v="-0.02"/>
    <n v="-0.28000000000000003"/>
    <n v="-0.28000000000000003"/>
    <s v="Fechamento"/>
  </r>
  <r>
    <n v="21797"/>
    <n v="5.3754"/>
    <n v="5.3760000000000003"/>
    <d v="2026-01-12T13:08:29"/>
    <x v="0"/>
    <n v="0.01"/>
    <n v="0.01"/>
    <n v="0.1"/>
    <n v="0.1"/>
    <s v="Fechamento"/>
  </r>
  <r>
    <n v="21798"/>
    <n v="5.3757999999999999"/>
    <n v="5.3764000000000003"/>
    <d v="2026-01-13T13:08:54"/>
    <x v="0"/>
    <n v="0"/>
    <n v="0"/>
    <n v="0.01"/>
    <n v="0.01"/>
    <s v="Fechamento"/>
  </r>
  <r>
    <n v="21799"/>
    <n v="5.3788999999999998"/>
    <n v="5.3795000000000002"/>
    <d v="2026-01-14T13:04:32"/>
    <x v="0"/>
    <n v="0"/>
    <n v="0"/>
    <n v="0.06"/>
    <n v="0.06"/>
    <s v="Fechamento"/>
  </r>
  <r>
    <n v="21800"/>
    <n v="5.3840000000000003"/>
    <n v="5.3845999999999998"/>
    <d v="2026-01-15T13:05:26"/>
    <x v="0"/>
    <n v="0.01"/>
    <n v="0.01"/>
    <n v="0.09"/>
    <n v="0.09"/>
    <s v="Fechamento"/>
  </r>
  <r>
    <n v="21801"/>
    <n v="5.3792"/>
    <n v="5.3798000000000004"/>
    <d v="2026-01-16T13:04:26"/>
    <x v="0"/>
    <n v="0"/>
    <n v="0"/>
    <n v="-0.09"/>
    <n v="-0.09"/>
    <s v="Fechamento"/>
  </r>
  <r>
    <n v="21802"/>
    <n v="5.3647"/>
    <n v="5.3653000000000004"/>
    <d v="2026-01-19T13:07:28"/>
    <x v="0"/>
    <n v="-0.01"/>
    <n v="-0.01"/>
    <n v="-0.27"/>
    <n v="-0.27"/>
    <s v="Fechamento"/>
  </r>
  <r>
    <n v="21803"/>
    <n v="5.3784000000000001"/>
    <n v="5.3789999999999996"/>
    <d v="2026-01-20T13:02:31"/>
    <x v="0"/>
    <n v="0.01"/>
    <n v="0.01"/>
    <n v="0.26"/>
    <n v="0.26"/>
    <s v="Fechamento"/>
  </r>
  <r>
    <n v="21804"/>
    <n v="5.3361999999999998"/>
    <n v="5.3368000000000002"/>
    <d v="2026-01-21T13:04:33"/>
    <x v="0"/>
    <n v="-0.04"/>
    <n v="-0.04"/>
    <n v="-0.78"/>
    <n v="-0.78"/>
    <s v="Fechamento"/>
  </r>
  <r>
    <n v="21805"/>
    <n v="5.3112000000000004"/>
    <n v="5.3117999999999999"/>
    <d v="2026-01-22T13:07:26"/>
    <x v="0"/>
    <n v="-0.03"/>
    <n v="-0.02"/>
    <n v="-0.47"/>
    <n v="-0.47"/>
    <s v="Fechamento"/>
  </r>
  <r>
    <n v="21806"/>
    <n v="5.2872000000000003"/>
    <n v="5.2878999999999996"/>
    <d v="2026-01-23T13:09:26"/>
    <x v="0"/>
    <n v="-0.02"/>
    <n v="-0.02"/>
    <n v="-0.45"/>
    <n v="-0.45"/>
    <s v="Fechamento"/>
  </r>
  <r>
    <n v="21807"/>
    <n v="5.2754000000000003"/>
    <n v="5.2759999999999998"/>
    <d v="2026-01-26T13:09:03"/>
    <x v="0"/>
    <n v="-0.01"/>
    <n v="-0.01"/>
    <n v="-0.23"/>
    <n v="-0.22"/>
    <s v="Fechamento"/>
  </r>
  <r>
    <n v="21808"/>
    <n v="5.2385999999999999"/>
    <n v="5.2392000000000003"/>
    <d v="2026-01-27T13:08:26"/>
    <x v="0"/>
    <n v="-0.04"/>
    <n v="-0.04"/>
    <n v="-0.7"/>
    <n v="-0.7"/>
    <s v="Fechamento"/>
  </r>
  <r>
    <n v="21809"/>
    <n v="5.1832000000000003"/>
    <n v="5.1837999999999997"/>
    <d v="2026-01-28T13:10:27"/>
    <x v="0"/>
    <n v="-0.06"/>
    <n v="-0.06"/>
    <n v="-1.06"/>
    <n v="-1.06"/>
    <s v="Fechamento"/>
  </r>
  <r>
    <n v="21810"/>
    <n v="5.1950000000000003"/>
    <n v="5.1955999999999998"/>
    <d v="2026-01-29T13:08:23"/>
    <x v="0"/>
    <n v="0.01"/>
    <n v="0.01"/>
    <n v="0.23"/>
    <n v="0.23"/>
    <s v="Fechamento"/>
  </r>
  <r>
    <n v="21811"/>
    <n v="5.2294999999999998"/>
    <n v="5.2301000000000002"/>
    <d v="2026-01-30T13:05:29"/>
    <x v="0"/>
    <n v="0.03"/>
    <n v="0.03"/>
    <n v="0.66"/>
    <n v="0.66"/>
    <s v="Fechamento"/>
  </r>
  <r>
    <n v="21812"/>
    <n v="5.2580999999999998"/>
    <n v="5.2587000000000002"/>
    <d v="2026-02-02T13:07:28"/>
    <x v="1"/>
    <n v="0.03"/>
    <n v="0.03"/>
    <n v="0.55000000000000004"/>
    <n v="0.55000000000000004"/>
    <s v="Fechamento"/>
  </r>
  <r>
    <n v="21813"/>
    <n v="5.2229999999999999"/>
    <n v="5.2236000000000002"/>
    <d v="2026-02-03T13:11:27"/>
    <x v="1"/>
    <n v="-0.04"/>
    <n v="-0.04"/>
    <n v="-0.67"/>
    <n v="-0.67"/>
    <s v="Fechamento"/>
  </r>
  <r>
    <n v="21814"/>
    <n v="5.2352999999999996"/>
    <n v="5.2359"/>
    <d v="2026-02-04T13:10:29"/>
    <x v="1"/>
    <n v="0.01"/>
    <n v="0.01"/>
    <n v="0.24"/>
    <n v="0.24"/>
    <s v="Fechamento"/>
  </r>
  <r>
    <n v="21815"/>
    <n v="5.2573999999999996"/>
    <n v="5.258"/>
    <d v="2026-02-05T13:05:29"/>
    <x v="1"/>
    <n v="0.02"/>
    <n v="0.02"/>
    <n v="0.42"/>
    <n v="0.42"/>
    <s v="Fechamento"/>
  </r>
  <r>
    <n v="21816"/>
    <n v="5.2335000000000003"/>
    <n v="5.2340999999999998"/>
    <d v="2026-02-06T13:10:27"/>
    <x v="1"/>
    <n v="-0.02"/>
    <n v="-0.02"/>
    <n v="-0.45"/>
    <n v="-0.45"/>
    <s v="Fechamento"/>
  </r>
  <r>
    <n v="21817"/>
    <n v="5.1936999999999998"/>
    <n v="5.1943000000000001"/>
    <d v="2026-02-09T13:09:27"/>
    <x v="1"/>
    <n v="-0.04"/>
    <n v="-0.04"/>
    <n v="-0.76"/>
    <n v="-0.76"/>
    <s v="Fechamento"/>
  </r>
  <r>
    <n v="21818"/>
    <n v="5.2015000000000002"/>
    <n v="5.2020999999999997"/>
    <d v="2026-02-10T13:10:27"/>
    <x v="1"/>
    <n v="0.01"/>
    <n v="0.01"/>
    <n v="0.15"/>
    <n v="0.15"/>
    <s v="Fechamento"/>
  </r>
  <r>
    <n v="21819"/>
    <n v="5.1829999999999998"/>
    <n v="5.1836000000000002"/>
    <d v="2026-02-11T13:03:28"/>
    <x v="1"/>
    <n v="-0.02"/>
    <n v="-0.02"/>
    <n v="-0.36"/>
    <n v="-0.36"/>
    <s v="Fechamento"/>
  </r>
  <r>
    <n v="21820"/>
    <n v="5.1668000000000003"/>
    <n v="5.1673999999999998"/>
    <d v="2026-02-12T13:04:38"/>
    <x v="1"/>
    <n v="-0.02"/>
    <n v="-0.02"/>
    <n v="-0.31"/>
    <n v="-0.31"/>
    <s v="Fechamento"/>
  </r>
  <r>
    <n v="21821"/>
    <n v="5.2282000000000002"/>
    <n v="5.2287999999999997"/>
    <d v="2026-02-13T13:04:28"/>
    <x v="1"/>
    <n v="0.06"/>
    <n v="0.06"/>
    <n v="1.19"/>
    <n v="1.19"/>
    <s v="Fechamento"/>
  </r>
  <r>
    <n v="21822"/>
    <n v="5.2343000000000002"/>
    <n v="5.2348999999999997"/>
    <d v="2026-02-18T15:40:29"/>
    <x v="1"/>
    <n v="0.01"/>
    <n v="0.01"/>
    <n v="0.12"/>
    <n v="0.12"/>
    <s v="Fechamento"/>
  </r>
  <r>
    <n v="21823"/>
    <n v="5.2249999999999996"/>
    <n v="5.2256999999999998"/>
    <d v="2026-02-19T13:11:27"/>
    <x v="1"/>
    <n v="-0.01"/>
    <n v="-0.01"/>
    <n v="-0.18"/>
    <n v="-0.18"/>
    <s v="Fechamento"/>
  </r>
  <r>
    <n v="21824"/>
    <n v="5.2"/>
    <n v="5.2005999999999997"/>
    <d v="2026-02-20T13:02:26"/>
    <x v="1"/>
    <n v="-0.03"/>
    <n v="-0.02"/>
    <n v="-0.48"/>
    <n v="-0.48"/>
    <s v="Fechamento"/>
  </r>
  <r>
    <n v="21825"/>
    <n v="5.1628999999999996"/>
    <n v="5.1635"/>
    <d v="2026-02-23T13:02:28"/>
    <x v="1"/>
    <n v="-0.04"/>
    <n v="-0.04"/>
    <n v="-0.71"/>
    <n v="-0.71"/>
    <s v="Fechamento"/>
  </r>
  <r>
    <n v="21826"/>
    <n v="5.1676000000000002"/>
    <n v="5.1681999999999997"/>
    <d v="2026-02-24T13:04:29"/>
    <x v="1"/>
    <n v="0"/>
    <n v="0"/>
    <n v="0.09"/>
    <n v="0.09"/>
    <s v="Fechamento"/>
  </r>
  <r>
    <n v="21827"/>
    <n v="5.1433999999999997"/>
    <n v="5.1440000000000001"/>
    <d v="2026-02-25T13:05:28"/>
    <x v="1"/>
    <n v="-0.02"/>
    <n v="-0.02"/>
    <n v="-0.47"/>
    <n v="-0.47"/>
    <s v="Fechamento"/>
  </r>
  <r>
    <n v="21828"/>
    <n v="5.1375999999999999"/>
    <n v="5.1382000000000003"/>
    <d v="2026-02-26T13:06:33"/>
    <x v="1"/>
    <n v="-0.01"/>
    <n v="-0.01"/>
    <n v="-0.11"/>
    <n v="-0.11"/>
    <s v="Fechamento"/>
  </r>
  <r>
    <n v="21829"/>
    <n v="5.1489000000000003"/>
    <n v="5.1494999999999997"/>
    <d v="2026-02-27T13:02:27"/>
    <x v="1"/>
    <n v="0.01"/>
    <n v="0.01"/>
    <n v="0.22"/>
    <n v="0.22"/>
    <s v="Fechamento"/>
  </r>
  <r>
    <n v="21830"/>
    <n v="5.1994999999999996"/>
    <n v="5.2000999999999999"/>
    <d v="2026-03-02T13:09:26"/>
    <x v="2"/>
    <n v="0.05"/>
    <n v="0.05"/>
    <n v="0.98"/>
    <n v="0.98"/>
    <s v="Fechamento"/>
  </r>
  <r>
    <n v="21831"/>
    <n v="5.2864000000000004"/>
    <n v="5.2869999999999999"/>
    <d v="2026-03-03T13:10:28"/>
    <x v="2"/>
    <n v="0.09"/>
    <n v="0.09"/>
    <n v="1.67"/>
    <n v="1.67"/>
    <s v="Fechamento"/>
  </r>
  <r>
    <n v="21832"/>
    <n v="5.2084999999999999"/>
    <n v="5.2091000000000003"/>
    <d v="2026-03-04T13:07:27"/>
    <x v="2"/>
    <n v="-0.08"/>
    <n v="-0.08"/>
    <n v="-1.47"/>
    <n v="-1.47"/>
    <s v="Fechamento"/>
  </r>
  <r>
    <n v="21833"/>
    <n v="5.2441000000000004"/>
    <n v="5.2446999999999999"/>
    <d v="2026-03-05T13:03:30"/>
    <x v="2"/>
    <n v="0.04"/>
    <n v="0.04"/>
    <n v="0.68"/>
    <n v="0.68"/>
    <s v="Fechamento"/>
  </r>
  <r>
    <n v="21834"/>
    <n v="5.2872000000000003"/>
    <n v="5.2877999999999998"/>
    <d v="2026-03-06T13:10:28"/>
    <x v="2"/>
    <n v="0.04"/>
    <n v="0.04"/>
    <n v="0.82"/>
    <n v="0.82"/>
    <s v="Fechamento"/>
  </r>
  <r>
    <n v="21835"/>
    <n v="5.2133000000000003"/>
    <n v="5.2138999999999998"/>
    <d v="2026-03-09T13:10:28"/>
    <x v="2"/>
    <n v="-7.0000000000000007E-2"/>
    <n v="-7.0000000000000007E-2"/>
    <n v="-1.4"/>
    <n v="-1.4"/>
    <s v="Fechamento"/>
  </r>
  <r>
    <n v="21836"/>
    <n v="5.1616"/>
    <n v="5.1622000000000003"/>
    <d v="2026-03-10T13:09:26"/>
    <x v="2"/>
    <n v="-0.05"/>
    <n v="-0.05"/>
    <n v="-0.99"/>
    <n v="-0.99"/>
    <s v="Fechamento"/>
  </r>
  <r>
    <n v="21837"/>
    <n v="5.1589999999999998"/>
    <n v="5.1596000000000002"/>
    <d v="2026-03-11T13:04:26"/>
    <x v="2"/>
    <n v="0"/>
    <n v="0"/>
    <n v="-0.05"/>
    <n v="-0.05"/>
    <s v="Fechamento"/>
  </r>
  <r>
    <n v="21838"/>
    <n v="5.2045000000000003"/>
    <n v="5.2050999999999998"/>
    <d v="2026-03-12T13:10:29"/>
    <x v="2"/>
    <n v="0.05"/>
    <n v="0.05"/>
    <n v="0.88"/>
    <n v="0.88"/>
    <s v="Fechamento"/>
  </r>
  <r>
    <n v="21839"/>
    <n v="5.2534999999999998"/>
    <n v="5.2541000000000002"/>
    <d v="2026-03-13T13:03:29"/>
    <x v="2"/>
    <n v="0.05"/>
    <n v="0.05"/>
    <n v="0.94"/>
    <n v="0.94"/>
    <s v="Fechamento"/>
  </r>
  <r>
    <n v="21840"/>
    <n v="5.2641"/>
    <n v="5.2647000000000004"/>
    <d v="2026-03-16T13:08:25"/>
    <x v="2"/>
    <n v="0.01"/>
    <n v="0.01"/>
    <n v="0.2"/>
    <n v="0.2"/>
    <s v="Fechamento"/>
  </r>
  <r>
    <n v="21841"/>
    <n v="5.2016"/>
    <n v="5.2022000000000004"/>
    <d v="2026-03-17T13:09:33"/>
    <x v="2"/>
    <n v="-0.06"/>
    <n v="-0.06"/>
    <n v="-1.19"/>
    <n v="-1.19"/>
    <s v="Fechamento"/>
  </r>
  <r>
    <n v="21842"/>
    <n v="5.2106000000000003"/>
    <n v="5.2111999999999998"/>
    <d v="2026-03-18T13:08:33"/>
    <x v="2"/>
    <n v="0.01"/>
    <n v="0.01"/>
    <n v="0.17"/>
    <n v="0.17"/>
    <s v="Fechamento"/>
  </r>
  <r>
    <n v="21843"/>
    <n v="5.2580999999999998"/>
    <n v="5.2587000000000002"/>
    <d v="2026-03-19T13:02:27"/>
    <x v="2"/>
    <n v="0.05"/>
    <n v="0.05"/>
    <n v="0.91"/>
    <n v="0.91"/>
    <s v="Fechamento"/>
  </r>
  <r>
    <n v="21844"/>
    <n v="5.2793000000000001"/>
    <n v="5.28"/>
    <d v="2026-03-20T13:11:28"/>
    <x v="2"/>
    <n v="0.02"/>
    <n v="0.02"/>
    <n v="0.41"/>
    <n v="0.4"/>
    <s v="Fechamento"/>
  </r>
  <r>
    <n v="21845"/>
    <n v="5.2434000000000003"/>
    <n v="5.2439999999999998"/>
    <d v="2026-03-23T13:11:28"/>
    <x v="2"/>
    <n v="-0.04"/>
    <n v="-0.04"/>
    <n v="-0.68"/>
    <n v="-0.68"/>
    <s v="Fechamento"/>
  </r>
  <r>
    <n v="21846"/>
    <n v="5.2592999999999996"/>
    <n v="5.2599"/>
    <d v="2026-03-24T13:09:29"/>
    <x v="2"/>
    <n v="0.02"/>
    <n v="0.02"/>
    <n v="0.3"/>
    <n v="0.3"/>
    <s v="Fechamento"/>
  </r>
  <r>
    <n v="21847"/>
    <n v="5.2268999999999997"/>
    <n v="5.2275"/>
    <d v="2026-03-25T13:08:34"/>
    <x v="2"/>
    <n v="-0.03"/>
    <n v="-0.03"/>
    <n v="-0.62"/>
    <n v="-0.62"/>
    <s v="Fechamento"/>
  </r>
  <r>
    <n v="21848"/>
    <n v="5.2302"/>
    <n v="5.2308000000000003"/>
    <d v="2026-03-26T13:11:09"/>
    <x v="2"/>
    <n v="0"/>
    <n v="0"/>
    <n v="0.06"/>
    <n v="0.06"/>
    <s v="Fechamento"/>
  </r>
  <r>
    <n v="21849"/>
    <n v="5.2370000000000001"/>
    <n v="5.2375999999999996"/>
    <d v="2026-03-27T13:11:42"/>
    <x v="2"/>
    <n v="0.01"/>
    <n v="0.01"/>
    <n v="0.13"/>
    <n v="0.13"/>
    <s v="Fechamento"/>
  </r>
  <r>
    <n v="21850"/>
    <n v="5.2347000000000001"/>
    <n v="5.2352999999999996"/>
    <d v="2026-03-30T13:10:28"/>
    <x v="2"/>
    <n v="0"/>
    <n v="0"/>
    <n v="-0.04"/>
    <n v="-0.04"/>
    <s v="Fechamento"/>
  </r>
  <r>
    <n v="21851"/>
    <n v="5.2187999999999999"/>
    <n v="5.2194000000000003"/>
    <d v="2026-03-31T13:04:23"/>
    <x v="2"/>
    <n v="-0.02"/>
    <n v="-0.02"/>
    <n v="-0.3"/>
    <n v="-0.3"/>
    <s v="Fechamento"/>
  </r>
  <r>
    <n v="21852"/>
    <n v="5.16"/>
    <n v="5.1605999999999996"/>
    <d v="2026-04-01T13:06:28"/>
    <x v="3"/>
    <n v="-0.06"/>
    <n v="-0.06"/>
    <n v="-1.1299999999999999"/>
    <n v="-1.1299999999999999"/>
    <s v="Fechamento"/>
  </r>
  <r>
    <n v="21853"/>
    <n v="5.1649000000000003"/>
    <n v="5.1654999999999998"/>
    <d v="2026-04-02T13:10:27"/>
    <x v="3"/>
    <n v="0"/>
    <n v="0"/>
    <n v="0.09"/>
    <n v="0.09"/>
    <s v="Fechamento"/>
  </r>
  <r>
    <n v="21854"/>
    <n v="5.1525999999999996"/>
    <n v="5.1532"/>
    <d v="2026-04-06T13:06:25"/>
    <x v="3"/>
    <n v="-0.01"/>
    <n v="-0.01"/>
    <n v="-0.24"/>
    <n v="-0.24"/>
    <s v="Fechamento"/>
  </r>
  <r>
    <n v="21855"/>
    <n v="5.1619000000000002"/>
    <n v="5.1624999999999996"/>
    <d v="2026-04-07T13:08:26"/>
    <x v="3"/>
    <n v="0.01"/>
    <n v="0.01"/>
    <n v="0.18"/>
    <n v="0.18"/>
    <s v="Fechamento"/>
  </r>
  <r>
    <n v="21856"/>
    <n v="5.0892999999999997"/>
    <n v="5.0899000000000001"/>
    <d v="2026-04-08T13:02:29"/>
    <x v="3"/>
    <n v="-7.0000000000000007E-2"/>
    <n v="-7.0000000000000007E-2"/>
    <n v="-1.41"/>
    <n v="-1.41"/>
    <s v="Fechamento"/>
  </r>
  <r>
    <n v="21857"/>
    <n v="5.0815000000000001"/>
    <n v="5.0820999999999996"/>
    <d v="2026-04-09T13:10:30"/>
    <x v="3"/>
    <n v="-0.01"/>
    <n v="-0.01"/>
    <n v="-0.15"/>
    <n v="-0.15"/>
    <s v="Fechamento"/>
  </r>
  <r>
    <n v="21858"/>
    <n v="5.0223000000000004"/>
    <n v="5.0228999999999999"/>
    <d v="2026-04-10T13:04:25"/>
    <x v="3"/>
    <n v="-0.06"/>
    <n v="-0.06"/>
    <n v="-1.1599999999999999"/>
    <n v="-1.17"/>
    <s v="Fechamento"/>
  </r>
  <r>
    <n v="21859"/>
    <n v="5.0237999999999996"/>
    <n v="5.0244"/>
    <d v="2026-04-13T13:04:54"/>
    <x v="3"/>
    <n v="0"/>
    <n v="0"/>
    <n v="0.03"/>
    <n v="0.03"/>
    <s v="Fechamento"/>
  </r>
  <r>
    <n v="21860"/>
    <n v="4.9800000000000004"/>
    <n v="4.9805999999999999"/>
    <d v="2026-04-14T13:03:27"/>
    <x v="3"/>
    <n v="-0.04"/>
    <n v="-0.04"/>
    <n v="-0.87"/>
    <n v="-0.87"/>
    <s v="Fechamento"/>
  </r>
  <r>
    <n v="21861"/>
    <n v="4.9922000000000004"/>
    <n v="4.9927999999999999"/>
    <d v="2026-04-15T13:06:26"/>
    <x v="3"/>
    <n v="0.01"/>
    <n v="0.01"/>
    <n v="0.24"/>
    <n v="0.24"/>
    <s v="Fechamento"/>
  </r>
  <r>
    <n v="21862"/>
    <n v="5.0000999999999998"/>
    <n v="5.0007000000000001"/>
    <d v="2026-04-16T13:03:29"/>
    <x v="3"/>
    <n v="0.01"/>
    <n v="0.01"/>
    <n v="0.16"/>
    <n v="0.16"/>
    <s v="Fechamento"/>
  </r>
  <r>
    <n v="21863"/>
    <n v="4.9688999999999997"/>
    <n v="4.9695"/>
    <d v="2026-04-17T13:09:27"/>
    <x v="3"/>
    <n v="-0.03"/>
    <n v="-0.03"/>
    <n v="-0.62"/>
    <n v="-0.62"/>
    <s v="Fechamento"/>
  </r>
  <r>
    <n v="21864"/>
    <n v="4.9837999999999996"/>
    <n v="4.9843999999999999"/>
    <d v="2026-04-20T13:02:26"/>
    <x v="3"/>
    <n v="0.01"/>
    <n v="0.01"/>
    <n v="0.3"/>
    <n v="0.3"/>
    <s v="Fechamento"/>
  </r>
  <r>
    <n v="21865"/>
    <n v="4.9646999999999997"/>
    <n v="4.9653"/>
    <d v="2026-04-22T13:11:28"/>
    <x v="3"/>
    <n v="-0.02"/>
    <n v="-0.02"/>
    <n v="-0.38"/>
    <n v="-0.38"/>
    <s v="Fechamento"/>
  </r>
  <r>
    <n v="21866"/>
    <n v="4.9532999999999996"/>
    <n v="4.9539"/>
    <d v="2026-04-23T13:03:26"/>
    <x v="3"/>
    <n v="-0.01"/>
    <n v="-0.01"/>
    <n v="-0.23"/>
    <n v="-0.23"/>
    <s v="Fechamento"/>
  </r>
  <r>
    <n v="21867"/>
    <n v="5.0076999999999998"/>
    <n v="5.0083000000000002"/>
    <d v="2026-04-24T13:06:16"/>
    <x v="3"/>
    <n v="0.05"/>
    <n v="0.05"/>
    <n v="1.1000000000000001"/>
    <n v="1.1000000000000001"/>
    <s v="Fechamento"/>
  </r>
  <r>
    <n v="21868"/>
    <n v="4.9694000000000003"/>
    <n v="4.97"/>
    <d v="2026-04-27T13:06:14"/>
    <x v="3"/>
    <n v="-0.04"/>
    <n v="-0.04"/>
    <n v="-0.76"/>
    <n v="-0.76"/>
    <s v="Fechamento"/>
  </r>
  <r>
    <n v="21869"/>
    <n v="4.9871999999999996"/>
    <n v="4.9878"/>
    <d v="2026-04-28T13:10:26"/>
    <x v="3"/>
    <n v="0.02"/>
    <n v="0.02"/>
    <n v="0.36"/>
    <n v="0.36"/>
    <s v="Fechamento"/>
  </r>
  <r>
    <n v="21870"/>
    <n v="4.9978999999999996"/>
    <n v="4.9984999999999999"/>
    <d v="2026-04-29T13:11:25"/>
    <x v="3"/>
    <n v="0.01"/>
    <n v="0.01"/>
    <n v="0.21"/>
    <n v="0.21"/>
    <s v="Fechamento"/>
  </r>
  <r>
    <n v="21871"/>
    <n v="4.9880000000000004"/>
    <n v="4.9885999999999999"/>
    <d v="2026-04-30T13:06:28"/>
    <x v="3"/>
    <n v="-0.01"/>
    <n v="-0.01"/>
    <n v="-0.2"/>
    <n v="-0.2"/>
    <s v="Fechamento"/>
  </r>
  <r>
    <n v="21872"/>
    <n v="4.9581"/>
    <n v="4.9587000000000003"/>
    <d v="2026-05-04T13:09:26"/>
    <x v="4"/>
    <n v="-0.03"/>
    <n v="-0.03"/>
    <n v="-0.6"/>
    <n v="-0.6"/>
    <s v="Fechamento"/>
  </r>
  <r>
    <n v="21873"/>
    <n v="4.9236000000000004"/>
    <n v="4.9241999999999999"/>
    <d v="2026-05-05T13:04:26"/>
    <x v="4"/>
    <n v="-0.03"/>
    <n v="-0.03"/>
    <n v="-0.7"/>
    <n v="-0.7"/>
    <s v="Fechamento"/>
  </r>
  <r>
    <n v="21874"/>
    <n v="4.9268000000000001"/>
    <n v="4.9273999999999996"/>
    <d v="2026-05-06T13:08:28"/>
    <x v="4"/>
    <n v="0"/>
    <n v="0"/>
    <n v="0.06"/>
    <n v="0.06"/>
    <s v="Fechamento"/>
  </r>
  <r>
    <n v="21875"/>
    <n v="4.9164000000000003"/>
    <n v="4.9169999999999998"/>
    <d v="2026-05-07T13:09:29"/>
    <x v="4"/>
    <n v="-0.01"/>
    <n v="-0.01"/>
    <n v="-0.21"/>
    <n v="-0.21"/>
    <s v="Fechamento"/>
  </r>
  <r>
    <n v="21876"/>
    <n v="4.8993000000000002"/>
    <n v="4.8998999999999997"/>
    <d v="2026-05-08T13:05:32"/>
    <x v="4"/>
    <n v="-0.02"/>
    <n v="-0.02"/>
    <n v="-0.35"/>
    <n v="-0.35"/>
    <s v="Fechamento"/>
  </r>
  <r>
    <n v="21877"/>
    <n v="4.8967000000000001"/>
    <n v="4.8973000000000004"/>
    <d v="2026-05-11T13:08:25"/>
    <x v="4"/>
    <n v="0"/>
    <n v="0"/>
    <n v="-0.05"/>
    <n v="-0.05"/>
    <s v="Fechamento"/>
  </r>
  <r>
    <n v="21878"/>
    <n v="4.8971"/>
    <n v="4.8977000000000004"/>
    <d v="2026-05-12T13:11:27"/>
    <x v="4"/>
    <n v="0"/>
    <n v="0"/>
    <n v="0.01"/>
    <n v="0.01"/>
    <s v="Fechamento"/>
  </r>
  <r>
    <n v="21879"/>
    <n v="4.9112"/>
    <n v="4.9118000000000004"/>
    <d v="2026-05-13T13:17:55"/>
    <x v="4"/>
    <n v="0.01"/>
    <n v="0.01"/>
    <n v="0.28999999999999998"/>
    <n v="0.28999999999999998"/>
    <s v="Fechamento"/>
  </r>
  <r>
    <n v="21880"/>
    <n v="4.9802999999999997"/>
    <n v="4.9809000000000001"/>
    <d v="2026-05-14T13:03:15"/>
    <x v="4"/>
    <n v="7.0000000000000007E-2"/>
    <n v="7.0000000000000007E-2"/>
    <n v="1.41"/>
    <n v="1.41"/>
    <s v="Fechamento"/>
  </r>
  <r>
    <n v="21881"/>
    <n v="5.0648"/>
    <n v="5.0654000000000003"/>
    <d v="2026-05-15T13:08:27"/>
    <x v="4"/>
    <n v="0.08"/>
    <n v="0.08"/>
    <n v="1.7"/>
    <n v="1.7"/>
    <s v="Fechamento"/>
  </r>
  <r>
    <n v="21882"/>
    <n v="5.0087000000000002"/>
    <n v="5.0092999999999996"/>
    <d v="2026-05-18T13:04:26"/>
    <x v="4"/>
    <n v="-0.06"/>
    <n v="-0.06"/>
    <n v="-1.1100000000000001"/>
    <n v="-1.1100000000000001"/>
    <s v="Fechament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n v="21791"/>
    <n v="5.4366000000000003"/>
    <n v="5.4371999999999998"/>
    <d v="2026-01-02T13:03:33"/>
    <x v="0"/>
    <n v="0"/>
    <n v="0"/>
    <n v="0"/>
    <n v="0"/>
    <s v="Fechamento"/>
  </r>
  <r>
    <n v="21792"/>
    <n v="5.4344999999999999"/>
    <n v="5.4351000000000003"/>
    <d v="2026-01-05T13:10:15"/>
    <x v="0"/>
    <n v="0"/>
    <n v="0"/>
    <n v="-0.04"/>
    <n v="-0.04"/>
    <s v="Fechamento"/>
  </r>
  <r>
    <n v="21793"/>
    <n v="5.3791000000000002"/>
    <n v="5.3796999999999997"/>
    <d v="2026-01-06T13:12:07"/>
    <x v="0"/>
    <n v="-0.06"/>
    <n v="-0.06"/>
    <n v="-1.02"/>
    <n v="-1.02"/>
    <s v="Fechamento"/>
  </r>
  <r>
    <n v="21794"/>
    <n v="5.3874000000000004"/>
    <n v="5.3879999999999999"/>
    <d v="2026-01-07T13:06:27"/>
    <x v="0"/>
    <n v="0.01"/>
    <n v="0.01"/>
    <n v="0.15"/>
    <n v="0.15"/>
    <s v="Fechamento"/>
  </r>
  <r>
    <n v="21795"/>
    <n v="5.3853999999999997"/>
    <n v="5.3860000000000001"/>
    <d v="2026-01-08T13:04:29"/>
    <x v="0"/>
    <n v="0"/>
    <n v="0"/>
    <n v="-0.04"/>
    <n v="-0.04"/>
    <s v="Fechamento"/>
  </r>
  <r>
    <n v="21796"/>
    <n v="5.3700999999999999"/>
    <n v="5.3707000000000003"/>
    <d v="2026-01-09T13:09:29"/>
    <x v="0"/>
    <n v="-0.02"/>
    <n v="-0.02"/>
    <n v="-0.28000000000000003"/>
    <n v="-0.28000000000000003"/>
    <s v="Fechamento"/>
  </r>
  <r>
    <n v="21797"/>
    <n v="5.3754"/>
    <n v="5.3760000000000003"/>
    <d v="2026-01-12T13:08:29"/>
    <x v="0"/>
    <n v="0.01"/>
    <n v="0.01"/>
    <n v="0.1"/>
    <n v="0.1"/>
    <s v="Fechamento"/>
  </r>
  <r>
    <n v="21798"/>
    <n v="5.3757999999999999"/>
    <n v="5.3764000000000003"/>
    <d v="2026-01-13T13:08:54"/>
    <x v="0"/>
    <n v="0"/>
    <n v="0"/>
    <n v="0.01"/>
    <n v="0.01"/>
    <s v="Fechamento"/>
  </r>
  <r>
    <n v="21799"/>
    <n v="5.3788999999999998"/>
    <n v="5.3795000000000002"/>
    <d v="2026-01-14T13:04:32"/>
    <x v="0"/>
    <n v="0"/>
    <n v="0"/>
    <n v="0.06"/>
    <n v="0.06"/>
    <s v="Fechamento"/>
  </r>
  <r>
    <n v="21800"/>
    <n v="5.3840000000000003"/>
    <n v="5.3845999999999998"/>
    <d v="2026-01-15T13:05:26"/>
    <x v="0"/>
    <n v="0.01"/>
    <n v="0.01"/>
    <n v="0.09"/>
    <n v="0.09"/>
    <s v="Fechamento"/>
  </r>
  <r>
    <n v="21801"/>
    <n v="5.3792"/>
    <n v="5.3798000000000004"/>
    <d v="2026-01-16T13:04:26"/>
    <x v="0"/>
    <n v="0"/>
    <n v="0"/>
    <n v="-0.09"/>
    <n v="-0.09"/>
    <s v="Fechamento"/>
  </r>
  <r>
    <n v="21802"/>
    <n v="5.3647"/>
    <n v="5.3653000000000004"/>
    <d v="2026-01-19T13:07:28"/>
    <x v="0"/>
    <n v="-0.01"/>
    <n v="-0.01"/>
    <n v="-0.27"/>
    <n v="-0.27"/>
    <s v="Fechamento"/>
  </r>
  <r>
    <n v="21803"/>
    <n v="5.3784000000000001"/>
    <n v="5.3789999999999996"/>
    <d v="2026-01-20T13:02:31"/>
    <x v="0"/>
    <n v="0.01"/>
    <n v="0.01"/>
    <n v="0.26"/>
    <n v="0.26"/>
    <s v="Fechamento"/>
  </r>
  <r>
    <n v="21804"/>
    <n v="5.3361999999999998"/>
    <n v="5.3368000000000002"/>
    <d v="2026-01-21T13:04:33"/>
    <x v="0"/>
    <n v="-0.04"/>
    <n v="-0.04"/>
    <n v="-0.78"/>
    <n v="-0.78"/>
    <s v="Fechamento"/>
  </r>
  <r>
    <n v="21805"/>
    <n v="5.3112000000000004"/>
    <n v="5.3117999999999999"/>
    <d v="2026-01-22T13:07:26"/>
    <x v="0"/>
    <n v="-0.03"/>
    <n v="-0.02"/>
    <n v="-0.47"/>
    <n v="-0.47"/>
    <s v="Fechamento"/>
  </r>
  <r>
    <n v="21806"/>
    <n v="5.2872000000000003"/>
    <n v="5.2878999999999996"/>
    <d v="2026-01-23T13:09:26"/>
    <x v="0"/>
    <n v="-0.02"/>
    <n v="-0.02"/>
    <n v="-0.45"/>
    <n v="-0.45"/>
    <s v="Fechamento"/>
  </r>
  <r>
    <n v="21807"/>
    <n v="5.2754000000000003"/>
    <n v="5.2759999999999998"/>
    <d v="2026-01-26T13:09:03"/>
    <x v="0"/>
    <n v="-0.01"/>
    <n v="-0.01"/>
    <n v="-0.23"/>
    <n v="-0.22"/>
    <s v="Fechamento"/>
  </r>
  <r>
    <n v="21808"/>
    <n v="5.2385999999999999"/>
    <n v="5.2392000000000003"/>
    <d v="2026-01-27T13:08:26"/>
    <x v="0"/>
    <n v="-0.04"/>
    <n v="-0.04"/>
    <n v="-0.7"/>
    <n v="-0.7"/>
    <s v="Fechamento"/>
  </r>
  <r>
    <n v="21809"/>
    <n v="5.1832000000000003"/>
    <n v="5.1837999999999997"/>
    <d v="2026-01-28T13:10:27"/>
    <x v="0"/>
    <n v="-0.06"/>
    <n v="-0.06"/>
    <n v="-1.06"/>
    <n v="-1.06"/>
    <s v="Fechamento"/>
  </r>
  <r>
    <n v="21810"/>
    <n v="5.1950000000000003"/>
    <n v="5.1955999999999998"/>
    <d v="2026-01-29T13:08:23"/>
    <x v="0"/>
    <n v="0.01"/>
    <n v="0.01"/>
    <n v="0.23"/>
    <n v="0.23"/>
    <s v="Fechamento"/>
  </r>
  <r>
    <n v="21811"/>
    <n v="5.2294999999999998"/>
    <n v="5.2301000000000002"/>
    <d v="2026-01-30T13:05:29"/>
    <x v="0"/>
    <n v="0.03"/>
    <n v="0.03"/>
    <n v="0.66"/>
    <n v="0.66"/>
    <s v="Fechamento"/>
  </r>
  <r>
    <n v="21812"/>
    <n v="5.2580999999999998"/>
    <n v="5.2587000000000002"/>
    <d v="2026-02-02T13:07:28"/>
    <x v="1"/>
    <n v="0.03"/>
    <n v="0.03"/>
    <n v="0.55000000000000004"/>
    <n v="0.55000000000000004"/>
    <s v="Fechamento"/>
  </r>
  <r>
    <n v="21813"/>
    <n v="5.2229999999999999"/>
    <n v="5.2236000000000002"/>
    <d v="2026-02-03T13:11:27"/>
    <x v="1"/>
    <n v="-0.04"/>
    <n v="-0.04"/>
    <n v="-0.67"/>
    <n v="-0.67"/>
    <s v="Fechamento"/>
  </r>
  <r>
    <n v="21814"/>
    <n v="5.2352999999999996"/>
    <n v="5.2359"/>
    <d v="2026-02-04T13:10:29"/>
    <x v="1"/>
    <n v="0.01"/>
    <n v="0.01"/>
    <n v="0.24"/>
    <n v="0.24"/>
    <s v="Fechamento"/>
  </r>
  <r>
    <n v="21815"/>
    <n v="5.2573999999999996"/>
    <n v="5.258"/>
    <d v="2026-02-05T13:05:29"/>
    <x v="1"/>
    <n v="0.02"/>
    <n v="0.02"/>
    <n v="0.42"/>
    <n v="0.42"/>
    <s v="Fechamento"/>
  </r>
  <r>
    <n v="21816"/>
    <n v="5.2335000000000003"/>
    <n v="5.2340999999999998"/>
    <d v="2026-02-06T13:10:27"/>
    <x v="1"/>
    <n v="-0.02"/>
    <n v="-0.02"/>
    <n v="-0.45"/>
    <n v="-0.45"/>
    <s v="Fechamento"/>
  </r>
  <r>
    <n v="21817"/>
    <n v="5.1936999999999998"/>
    <n v="5.1943000000000001"/>
    <d v="2026-02-09T13:09:27"/>
    <x v="1"/>
    <n v="-0.04"/>
    <n v="-0.04"/>
    <n v="-0.76"/>
    <n v="-0.76"/>
    <s v="Fechamento"/>
  </r>
  <r>
    <n v="21818"/>
    <n v="5.2015000000000002"/>
    <n v="5.2020999999999997"/>
    <d v="2026-02-10T13:10:27"/>
    <x v="1"/>
    <n v="0.01"/>
    <n v="0.01"/>
    <n v="0.15"/>
    <n v="0.15"/>
    <s v="Fechamento"/>
  </r>
  <r>
    <n v="21819"/>
    <n v="5.1829999999999998"/>
    <n v="5.1836000000000002"/>
    <d v="2026-02-11T13:03:28"/>
    <x v="1"/>
    <n v="-0.02"/>
    <n v="-0.02"/>
    <n v="-0.36"/>
    <n v="-0.36"/>
    <s v="Fechamento"/>
  </r>
  <r>
    <n v="21820"/>
    <n v="5.1668000000000003"/>
    <n v="5.1673999999999998"/>
    <d v="2026-02-12T13:04:38"/>
    <x v="1"/>
    <n v="-0.02"/>
    <n v="-0.02"/>
    <n v="-0.31"/>
    <n v="-0.31"/>
    <s v="Fechamento"/>
  </r>
  <r>
    <n v="21821"/>
    <n v="5.2282000000000002"/>
    <n v="5.2287999999999997"/>
    <d v="2026-02-13T13:04:28"/>
    <x v="1"/>
    <n v="0.06"/>
    <n v="0.06"/>
    <n v="1.19"/>
    <n v="1.19"/>
    <s v="Fechamento"/>
  </r>
  <r>
    <n v="21822"/>
    <n v="5.2343000000000002"/>
    <n v="5.2348999999999997"/>
    <d v="2026-02-18T15:40:29"/>
    <x v="1"/>
    <n v="0.01"/>
    <n v="0.01"/>
    <n v="0.12"/>
    <n v="0.12"/>
    <s v="Fechamento"/>
  </r>
  <r>
    <n v="21823"/>
    <n v="5.2249999999999996"/>
    <n v="5.2256999999999998"/>
    <d v="2026-02-19T13:11:27"/>
    <x v="1"/>
    <n v="-0.01"/>
    <n v="-0.01"/>
    <n v="-0.18"/>
    <n v="-0.18"/>
    <s v="Fechamento"/>
  </r>
  <r>
    <n v="21824"/>
    <n v="5.2"/>
    <n v="5.2005999999999997"/>
    <d v="2026-02-20T13:02:26"/>
    <x v="1"/>
    <n v="-0.03"/>
    <n v="-0.02"/>
    <n v="-0.48"/>
    <n v="-0.48"/>
    <s v="Fechamento"/>
  </r>
  <r>
    <n v="21825"/>
    <n v="5.1628999999999996"/>
    <n v="5.1635"/>
    <d v="2026-02-23T13:02:28"/>
    <x v="1"/>
    <n v="-0.04"/>
    <n v="-0.04"/>
    <n v="-0.71"/>
    <n v="-0.71"/>
    <s v="Fechamento"/>
  </r>
  <r>
    <n v="21826"/>
    <n v="5.1676000000000002"/>
    <n v="5.1681999999999997"/>
    <d v="2026-02-24T13:04:29"/>
    <x v="1"/>
    <n v="0"/>
    <n v="0"/>
    <n v="0.09"/>
    <n v="0.09"/>
    <s v="Fechamento"/>
  </r>
  <r>
    <n v="21827"/>
    <n v="5.1433999999999997"/>
    <n v="5.1440000000000001"/>
    <d v="2026-02-25T13:05:28"/>
    <x v="1"/>
    <n v="-0.02"/>
    <n v="-0.02"/>
    <n v="-0.47"/>
    <n v="-0.47"/>
    <s v="Fechamento"/>
  </r>
  <r>
    <n v="21828"/>
    <n v="5.1375999999999999"/>
    <n v="5.1382000000000003"/>
    <d v="2026-02-26T13:06:33"/>
    <x v="1"/>
    <n v="-0.01"/>
    <n v="-0.01"/>
    <n v="-0.11"/>
    <n v="-0.11"/>
    <s v="Fechamento"/>
  </r>
  <r>
    <n v="21829"/>
    <n v="5.1489000000000003"/>
    <n v="5.1494999999999997"/>
    <d v="2026-02-27T13:02:27"/>
    <x v="1"/>
    <n v="0.01"/>
    <n v="0.01"/>
    <n v="0.22"/>
    <n v="0.22"/>
    <s v="Fechamento"/>
  </r>
  <r>
    <n v="21830"/>
    <n v="5.1994999999999996"/>
    <n v="5.2000999999999999"/>
    <d v="2026-03-02T13:09:26"/>
    <x v="2"/>
    <n v="0.05"/>
    <n v="0.05"/>
    <n v="0.98"/>
    <n v="0.98"/>
    <s v="Fechamento"/>
  </r>
  <r>
    <n v="21831"/>
    <n v="5.2864000000000004"/>
    <n v="5.2869999999999999"/>
    <d v="2026-03-03T13:10:28"/>
    <x v="2"/>
    <n v="0.09"/>
    <n v="0.09"/>
    <n v="1.67"/>
    <n v="1.67"/>
    <s v="Fechamento"/>
  </r>
  <r>
    <n v="21832"/>
    <n v="5.2084999999999999"/>
    <n v="5.2091000000000003"/>
    <d v="2026-03-04T13:07:27"/>
    <x v="2"/>
    <n v="-0.08"/>
    <n v="-0.08"/>
    <n v="-1.47"/>
    <n v="-1.47"/>
    <s v="Fechamento"/>
  </r>
  <r>
    <n v="21833"/>
    <n v="5.2441000000000004"/>
    <n v="5.2446999999999999"/>
    <d v="2026-03-05T13:03:30"/>
    <x v="2"/>
    <n v="0.04"/>
    <n v="0.04"/>
    <n v="0.68"/>
    <n v="0.68"/>
    <s v="Fechamento"/>
  </r>
  <r>
    <n v="21834"/>
    <n v="5.2872000000000003"/>
    <n v="5.2877999999999998"/>
    <d v="2026-03-06T13:10:28"/>
    <x v="2"/>
    <n v="0.04"/>
    <n v="0.04"/>
    <n v="0.82"/>
    <n v="0.82"/>
    <s v="Fechamento"/>
  </r>
  <r>
    <n v="21835"/>
    <n v="5.2133000000000003"/>
    <n v="5.2138999999999998"/>
    <d v="2026-03-09T13:10:28"/>
    <x v="2"/>
    <n v="-7.0000000000000007E-2"/>
    <n v="-7.0000000000000007E-2"/>
    <n v="-1.4"/>
    <n v="-1.4"/>
    <s v="Fechamento"/>
  </r>
  <r>
    <n v="21836"/>
    <n v="5.1616"/>
    <n v="5.1622000000000003"/>
    <d v="2026-03-10T13:09:26"/>
    <x v="2"/>
    <n v="-0.05"/>
    <n v="-0.05"/>
    <n v="-0.99"/>
    <n v="-0.99"/>
    <s v="Fechamento"/>
  </r>
  <r>
    <n v="21837"/>
    <n v="5.1589999999999998"/>
    <n v="5.1596000000000002"/>
    <d v="2026-03-11T13:04:26"/>
    <x v="2"/>
    <n v="0"/>
    <n v="0"/>
    <n v="-0.05"/>
    <n v="-0.05"/>
    <s v="Fechamento"/>
  </r>
  <r>
    <n v="21838"/>
    <n v="5.2045000000000003"/>
    <n v="5.2050999999999998"/>
    <d v="2026-03-12T13:10:29"/>
    <x v="2"/>
    <n v="0.05"/>
    <n v="0.05"/>
    <n v="0.88"/>
    <n v="0.88"/>
    <s v="Fechamento"/>
  </r>
  <r>
    <n v="21839"/>
    <n v="5.2534999999999998"/>
    <n v="5.2541000000000002"/>
    <d v="2026-03-13T13:03:29"/>
    <x v="2"/>
    <n v="0.05"/>
    <n v="0.05"/>
    <n v="0.94"/>
    <n v="0.94"/>
    <s v="Fechamento"/>
  </r>
  <r>
    <n v="21840"/>
    <n v="5.2641"/>
    <n v="5.2647000000000004"/>
    <d v="2026-03-16T13:08:25"/>
    <x v="2"/>
    <n v="0.01"/>
    <n v="0.01"/>
    <n v="0.2"/>
    <n v="0.2"/>
    <s v="Fechamento"/>
  </r>
  <r>
    <n v="21841"/>
    <n v="5.2016"/>
    <n v="5.2022000000000004"/>
    <d v="2026-03-17T13:09:33"/>
    <x v="2"/>
    <n v="-0.06"/>
    <n v="-0.06"/>
    <n v="-1.19"/>
    <n v="-1.19"/>
    <s v="Fechamento"/>
  </r>
  <r>
    <n v="21842"/>
    <n v="5.2106000000000003"/>
    <n v="5.2111999999999998"/>
    <d v="2026-03-18T13:08:33"/>
    <x v="2"/>
    <n v="0.01"/>
    <n v="0.01"/>
    <n v="0.17"/>
    <n v="0.17"/>
    <s v="Fechamento"/>
  </r>
  <r>
    <n v="21843"/>
    <n v="5.2580999999999998"/>
    <n v="5.2587000000000002"/>
    <d v="2026-03-19T13:02:27"/>
    <x v="2"/>
    <n v="0.05"/>
    <n v="0.05"/>
    <n v="0.91"/>
    <n v="0.91"/>
    <s v="Fechamento"/>
  </r>
  <r>
    <n v="21844"/>
    <n v="5.2793000000000001"/>
    <n v="5.28"/>
    <d v="2026-03-20T13:11:28"/>
    <x v="2"/>
    <n v="0.02"/>
    <n v="0.02"/>
    <n v="0.41"/>
    <n v="0.4"/>
    <s v="Fechamento"/>
  </r>
  <r>
    <n v="21845"/>
    <n v="5.2434000000000003"/>
    <n v="5.2439999999999998"/>
    <d v="2026-03-23T13:11:28"/>
    <x v="2"/>
    <n v="-0.04"/>
    <n v="-0.04"/>
    <n v="-0.68"/>
    <n v="-0.68"/>
    <s v="Fechamento"/>
  </r>
  <r>
    <n v="21846"/>
    <n v="5.2592999999999996"/>
    <n v="5.2599"/>
    <d v="2026-03-24T13:09:29"/>
    <x v="2"/>
    <n v="0.02"/>
    <n v="0.02"/>
    <n v="0.3"/>
    <n v="0.3"/>
    <s v="Fechamento"/>
  </r>
  <r>
    <n v="21847"/>
    <n v="5.2268999999999997"/>
    <n v="5.2275"/>
    <d v="2026-03-25T13:08:34"/>
    <x v="2"/>
    <n v="-0.03"/>
    <n v="-0.03"/>
    <n v="-0.62"/>
    <n v="-0.62"/>
    <s v="Fechamento"/>
  </r>
  <r>
    <n v="21848"/>
    <n v="5.2302"/>
    <n v="5.2308000000000003"/>
    <d v="2026-03-26T13:11:09"/>
    <x v="2"/>
    <n v="0"/>
    <n v="0"/>
    <n v="0.06"/>
    <n v="0.06"/>
    <s v="Fechamento"/>
  </r>
  <r>
    <n v="21849"/>
    <n v="5.2370000000000001"/>
    <n v="5.2375999999999996"/>
    <d v="2026-03-27T13:11:42"/>
    <x v="2"/>
    <n v="0.01"/>
    <n v="0.01"/>
    <n v="0.13"/>
    <n v="0.13"/>
    <s v="Fechamento"/>
  </r>
  <r>
    <n v="21850"/>
    <n v="5.2347000000000001"/>
    <n v="5.2352999999999996"/>
    <d v="2026-03-30T13:10:28"/>
    <x v="2"/>
    <n v="0"/>
    <n v="0"/>
    <n v="-0.04"/>
    <n v="-0.04"/>
    <s v="Fechamento"/>
  </r>
  <r>
    <n v="21851"/>
    <n v="5.2187999999999999"/>
    <n v="5.2194000000000003"/>
    <d v="2026-03-31T13:04:23"/>
    <x v="2"/>
    <n v="-0.02"/>
    <n v="-0.02"/>
    <n v="-0.3"/>
    <n v="-0.3"/>
    <s v="Fechamento"/>
  </r>
  <r>
    <n v="21852"/>
    <n v="5.16"/>
    <n v="5.1605999999999996"/>
    <d v="2026-04-01T13:06:28"/>
    <x v="3"/>
    <n v="-0.06"/>
    <n v="-0.06"/>
    <n v="-1.1299999999999999"/>
    <n v="-1.1299999999999999"/>
    <s v="Fechamento"/>
  </r>
  <r>
    <n v="21853"/>
    <n v="5.1649000000000003"/>
    <n v="5.1654999999999998"/>
    <d v="2026-04-02T13:10:27"/>
    <x v="3"/>
    <n v="0"/>
    <n v="0"/>
    <n v="0.09"/>
    <n v="0.09"/>
    <s v="Fechamento"/>
  </r>
  <r>
    <n v="21854"/>
    <n v="5.1525999999999996"/>
    <n v="5.1532"/>
    <d v="2026-04-06T13:06:25"/>
    <x v="3"/>
    <n v="-0.01"/>
    <n v="-0.01"/>
    <n v="-0.24"/>
    <n v="-0.24"/>
    <s v="Fechamento"/>
  </r>
  <r>
    <n v="21855"/>
    <n v="5.1619000000000002"/>
    <n v="5.1624999999999996"/>
    <d v="2026-04-07T13:08:26"/>
    <x v="3"/>
    <n v="0.01"/>
    <n v="0.01"/>
    <n v="0.18"/>
    <n v="0.18"/>
    <s v="Fechamento"/>
  </r>
  <r>
    <n v="21856"/>
    <n v="5.0892999999999997"/>
    <n v="5.0899000000000001"/>
    <d v="2026-04-08T13:02:29"/>
    <x v="3"/>
    <n v="-7.0000000000000007E-2"/>
    <n v="-7.0000000000000007E-2"/>
    <n v="-1.41"/>
    <n v="-1.41"/>
    <s v="Fechamento"/>
  </r>
  <r>
    <n v="21857"/>
    <n v="5.0815000000000001"/>
    <n v="5.0820999999999996"/>
    <d v="2026-04-09T13:10:30"/>
    <x v="3"/>
    <n v="-0.01"/>
    <n v="-0.01"/>
    <n v="-0.15"/>
    <n v="-0.15"/>
    <s v="Fechamento"/>
  </r>
  <r>
    <n v="21858"/>
    <n v="5.0223000000000004"/>
    <n v="5.0228999999999999"/>
    <d v="2026-04-10T13:04:25"/>
    <x v="3"/>
    <n v="-0.06"/>
    <n v="-0.06"/>
    <n v="-1.1599999999999999"/>
    <n v="-1.17"/>
    <s v="Fechamento"/>
  </r>
  <r>
    <n v="21859"/>
    <n v="5.0237999999999996"/>
    <n v="5.0244"/>
    <d v="2026-04-13T13:04:54"/>
    <x v="3"/>
    <n v="0"/>
    <n v="0"/>
    <n v="0.03"/>
    <n v="0.03"/>
    <s v="Fechamento"/>
  </r>
  <r>
    <n v="21860"/>
    <n v="4.9800000000000004"/>
    <n v="4.9805999999999999"/>
    <d v="2026-04-14T13:03:27"/>
    <x v="3"/>
    <n v="-0.04"/>
    <n v="-0.04"/>
    <n v="-0.87"/>
    <n v="-0.87"/>
    <s v="Fechamento"/>
  </r>
  <r>
    <n v="21861"/>
    <n v="4.9922000000000004"/>
    <n v="4.9927999999999999"/>
    <d v="2026-04-15T13:06:26"/>
    <x v="3"/>
    <n v="0.01"/>
    <n v="0.01"/>
    <n v="0.24"/>
    <n v="0.24"/>
    <s v="Fechamento"/>
  </r>
  <r>
    <n v="21862"/>
    <n v="5.0000999999999998"/>
    <n v="5.0007000000000001"/>
    <d v="2026-04-16T13:03:29"/>
    <x v="3"/>
    <n v="0.01"/>
    <n v="0.01"/>
    <n v="0.16"/>
    <n v="0.16"/>
    <s v="Fechamento"/>
  </r>
  <r>
    <n v="21863"/>
    <n v="4.9688999999999997"/>
    <n v="4.9695"/>
    <d v="2026-04-17T13:09:27"/>
    <x v="3"/>
    <n v="-0.03"/>
    <n v="-0.03"/>
    <n v="-0.62"/>
    <n v="-0.62"/>
    <s v="Fechamento"/>
  </r>
  <r>
    <n v="21864"/>
    <n v="4.9837999999999996"/>
    <n v="4.9843999999999999"/>
    <d v="2026-04-20T13:02:26"/>
    <x v="3"/>
    <n v="0.01"/>
    <n v="0.01"/>
    <n v="0.3"/>
    <n v="0.3"/>
    <s v="Fechamento"/>
  </r>
  <r>
    <n v="21865"/>
    <n v="4.9646999999999997"/>
    <n v="4.9653"/>
    <d v="2026-04-22T13:11:28"/>
    <x v="3"/>
    <n v="-0.02"/>
    <n v="-0.02"/>
    <n v="-0.38"/>
    <n v="-0.38"/>
    <s v="Fechamento"/>
  </r>
  <r>
    <n v="21866"/>
    <n v="4.9532999999999996"/>
    <n v="4.9539"/>
    <d v="2026-04-23T13:03:26"/>
    <x v="3"/>
    <n v="-0.01"/>
    <n v="-0.01"/>
    <n v="-0.23"/>
    <n v="-0.23"/>
    <s v="Fechamento"/>
  </r>
  <r>
    <n v="21867"/>
    <n v="5.0076999999999998"/>
    <n v="5.0083000000000002"/>
    <d v="2026-04-24T13:06:16"/>
    <x v="3"/>
    <n v="0.05"/>
    <n v="0.05"/>
    <n v="1.1000000000000001"/>
    <n v="1.1000000000000001"/>
    <s v="Fechamento"/>
  </r>
  <r>
    <n v="21868"/>
    <n v="4.9694000000000003"/>
    <n v="4.97"/>
    <d v="2026-04-27T13:06:14"/>
    <x v="3"/>
    <n v="-0.04"/>
    <n v="-0.04"/>
    <n v="-0.76"/>
    <n v="-0.76"/>
    <s v="Fechamento"/>
  </r>
  <r>
    <n v="21869"/>
    <n v="4.9871999999999996"/>
    <n v="4.9878"/>
    <d v="2026-04-28T13:10:26"/>
    <x v="3"/>
    <n v="0.02"/>
    <n v="0.02"/>
    <n v="0.36"/>
    <n v="0.36"/>
    <s v="Fechamento"/>
  </r>
  <r>
    <n v="21870"/>
    <n v="4.9978999999999996"/>
    <n v="4.9984999999999999"/>
    <d v="2026-04-29T13:11:25"/>
    <x v="3"/>
    <n v="0.01"/>
    <n v="0.01"/>
    <n v="0.21"/>
    <n v="0.21"/>
    <s v="Fechamento"/>
  </r>
  <r>
    <n v="21871"/>
    <n v="4.9880000000000004"/>
    <n v="4.9885999999999999"/>
    <d v="2026-04-30T13:06:28"/>
    <x v="3"/>
    <n v="-0.01"/>
    <n v="-0.01"/>
    <n v="-0.2"/>
    <n v="-0.2"/>
    <s v="Fechamento"/>
  </r>
  <r>
    <n v="21872"/>
    <n v="4.9581"/>
    <n v="4.9587000000000003"/>
    <d v="2026-05-04T13:09:26"/>
    <x v="4"/>
    <n v="-0.03"/>
    <n v="-0.03"/>
    <n v="-0.6"/>
    <n v="-0.6"/>
    <s v="Fechamento"/>
  </r>
  <r>
    <n v="21873"/>
    <n v="4.9236000000000004"/>
    <n v="4.9241999999999999"/>
    <d v="2026-05-05T13:04:26"/>
    <x v="4"/>
    <n v="-0.03"/>
    <n v="-0.03"/>
    <n v="-0.7"/>
    <n v="-0.7"/>
    <s v="Fechamento"/>
  </r>
  <r>
    <n v="21874"/>
    <n v="4.9268000000000001"/>
    <n v="4.9273999999999996"/>
    <d v="2026-05-06T13:08:28"/>
    <x v="4"/>
    <n v="0"/>
    <n v="0"/>
    <n v="0.06"/>
    <n v="0.06"/>
    <s v="Fechamento"/>
  </r>
  <r>
    <n v="21875"/>
    <n v="4.9164000000000003"/>
    <n v="4.9169999999999998"/>
    <d v="2026-05-07T13:09:29"/>
    <x v="4"/>
    <n v="-0.01"/>
    <n v="-0.01"/>
    <n v="-0.21"/>
    <n v="-0.21"/>
    <s v="Fechamento"/>
  </r>
  <r>
    <n v="21876"/>
    <n v="4.8993000000000002"/>
    <n v="4.8998999999999997"/>
    <d v="2026-05-08T13:05:32"/>
    <x v="4"/>
    <n v="-0.02"/>
    <n v="-0.02"/>
    <n v="-0.35"/>
    <n v="-0.35"/>
    <s v="Fechamento"/>
  </r>
  <r>
    <n v="21877"/>
    <n v="4.8967000000000001"/>
    <n v="4.8973000000000004"/>
    <d v="2026-05-11T13:08:25"/>
    <x v="4"/>
    <n v="0"/>
    <n v="0"/>
    <n v="-0.05"/>
    <n v="-0.05"/>
    <s v="Fechamento"/>
  </r>
  <r>
    <n v="21878"/>
    <n v="4.8971"/>
    <n v="4.8977000000000004"/>
    <d v="2026-05-12T13:11:27"/>
    <x v="4"/>
    <n v="0"/>
    <n v="0"/>
    <n v="0.01"/>
    <n v="0.01"/>
    <s v="Fechamento"/>
  </r>
  <r>
    <n v="21879"/>
    <n v="4.9112"/>
    <n v="4.9118000000000004"/>
    <d v="2026-05-13T13:17:55"/>
    <x v="4"/>
    <n v="0.01"/>
    <n v="0.01"/>
    <n v="0.28999999999999998"/>
    <n v="0.28999999999999998"/>
    <s v="Fechamento"/>
  </r>
  <r>
    <n v="21880"/>
    <n v="4.9802999999999997"/>
    <n v="4.9809000000000001"/>
    <d v="2026-05-14T13:03:15"/>
    <x v="4"/>
    <n v="7.0000000000000007E-2"/>
    <n v="7.0000000000000007E-2"/>
    <n v="1.41"/>
    <n v="1.41"/>
    <s v="Fechamento"/>
  </r>
  <r>
    <n v="21881"/>
    <n v="5.0648"/>
    <n v="5.0654000000000003"/>
    <d v="2026-05-15T13:08:27"/>
    <x v="4"/>
    <n v="0.08"/>
    <n v="0.08"/>
    <n v="1.7"/>
    <n v="1.7"/>
    <s v="Fechamento"/>
  </r>
  <r>
    <n v="21882"/>
    <n v="5.0087000000000002"/>
    <n v="5.0092999999999996"/>
    <d v="2026-05-18T13:04:26"/>
    <x v="4"/>
    <n v="-0.06"/>
    <n v="-0.06"/>
    <n v="-1.1100000000000001"/>
    <n v="-1.1100000000000001"/>
    <s v="Fechamento"/>
  </r>
  <r>
    <n v="21"/>
    <n v="3"/>
    <n v="4"/>
    <d v="2026-06-15T13:08:27"/>
    <x v="5"/>
    <n v="-0.06"/>
    <n v="-0.06"/>
    <n v="-1.1100000000000001"/>
    <n v="-1.1100000000000001"/>
    <s v="Fechamento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">
  <r>
    <n v="18182"/>
    <n v="6.3879999999999999"/>
    <n v="6.3898000000000001"/>
    <d v="2026-01-02T13:03:33"/>
    <x v="0"/>
    <n v="0"/>
    <n v="0"/>
    <n v="0"/>
    <n v="0"/>
    <s v="Fechamento"/>
  </r>
  <r>
    <n v="18183"/>
    <n v="6.3605"/>
    <n v="6.3617999999999997"/>
    <d v="2026-01-05T13:10:15"/>
    <x v="0"/>
    <n v="-0.03"/>
    <n v="-0.03"/>
    <n v="-0.44"/>
    <n v="-0.43"/>
    <s v="Fechamento"/>
  </r>
  <r>
    <n v="18184"/>
    <n v="6.2908999999999997"/>
    <n v="6.2920999999999996"/>
    <d v="2026-01-06T13:12:07"/>
    <x v="0"/>
    <n v="-7.0000000000000007E-2"/>
    <n v="-7.0000000000000007E-2"/>
    <n v="-1.1000000000000001"/>
    <n v="-1.0900000000000001"/>
    <s v="Fechamento"/>
  </r>
  <r>
    <n v="18185"/>
    <n v="6.2972999999999999"/>
    <n v="6.2991000000000001"/>
    <d v="2026-01-07T13:06:27"/>
    <x v="0"/>
    <n v="0.01"/>
    <n v="0.01"/>
    <n v="0.11"/>
    <n v="0.1"/>
    <s v="Fechamento"/>
  </r>
  <r>
    <n v="18186"/>
    <n v="6.2820999999999998"/>
    <n v="6.2838000000000003"/>
    <d v="2026-01-08T13:04:29"/>
    <x v="0"/>
    <n v="-0.02"/>
    <n v="-0.02"/>
    <n v="-0.24"/>
    <n v="-0.24"/>
    <s v="Fechamento"/>
  </r>
  <r>
    <n v="18187"/>
    <n v="6.2507999999999999"/>
    <n v="6.2526000000000002"/>
    <d v="2026-01-09T13:09:29"/>
    <x v="0"/>
    <n v="-0.03"/>
    <n v="-0.03"/>
    <n v="-0.5"/>
    <n v="-0.5"/>
    <s v="Fechamento"/>
  </r>
  <r>
    <n v="18188"/>
    <n v="6.2789999999999999"/>
    <n v="6.2801999999999998"/>
    <d v="2026-01-12T13:08:29"/>
    <x v="0"/>
    <n v="0.03"/>
    <n v="0.03"/>
    <n v="0.44"/>
    <n v="0.45"/>
    <s v="Fechamento"/>
  </r>
  <r>
    <n v="18189"/>
    <n v="6.2633000000000001"/>
    <n v="6.2651000000000003"/>
    <d v="2026-01-13T13:08:54"/>
    <x v="0"/>
    <n v="-0.02"/>
    <n v="-0.02"/>
    <n v="-0.24"/>
    <n v="-0.25"/>
    <s v="Fechamento"/>
  </r>
  <r>
    <n v="18190"/>
    <n v="6.2713000000000001"/>
    <n v="6.2729999999999997"/>
    <d v="2026-01-14T13:04:32"/>
    <x v="0"/>
    <n v="0.01"/>
    <n v="0.01"/>
    <n v="0.13"/>
    <n v="0.13"/>
    <s v="Fechamento"/>
  </r>
  <r>
    <n v="18191"/>
    <n v="6.2465000000000002"/>
    <n v="6.2477999999999998"/>
    <d v="2026-01-15T13:05:26"/>
    <x v="0"/>
    <n v="-0.03"/>
    <n v="-0.02"/>
    <n v="-0.4"/>
    <n v="-0.4"/>
    <s v="Fechamento"/>
  </r>
  <r>
    <n v="18192"/>
    <n v="6.2366000000000001"/>
    <n v="6.2384000000000004"/>
    <d v="2026-01-16T13:04:26"/>
    <x v="0"/>
    <n v="-0.01"/>
    <n v="-0.01"/>
    <n v="-0.15"/>
    <n v="-0.16"/>
    <s v="Fechamento"/>
  </r>
  <r>
    <n v="18193"/>
    <n v="6.2439999999999998"/>
    <n v="6.2457000000000003"/>
    <d v="2026-01-19T13:07:28"/>
    <x v="0"/>
    <n v="0.01"/>
    <n v="0.01"/>
    <n v="0.12"/>
    <n v="0.12"/>
    <s v="Fechamento"/>
  </r>
  <r>
    <n v="18194"/>
    <n v="6.3071999999999999"/>
    <n v="6.3085000000000004"/>
    <d v="2026-01-20T13:02:31"/>
    <x v="0"/>
    <n v="0.06"/>
    <n v="0.06"/>
    <n v="1.01"/>
    <n v="1.01"/>
    <s v="Fechamento"/>
  </r>
  <r>
    <n v="18195"/>
    <n v="6.2439"/>
    <n v="6.2450999999999999"/>
    <d v="2026-01-21T13:04:33"/>
    <x v="0"/>
    <n v="-0.06"/>
    <n v="-0.06"/>
    <n v="-1"/>
    <n v="-1"/>
    <s v="Fechamento"/>
  </r>
  <r>
    <n v="18196"/>
    <n v="6.2321999999999997"/>
    <n v="6.2333999999999996"/>
    <d v="2026-01-22T13:07:26"/>
    <x v="0"/>
    <n v="-0.01"/>
    <n v="-0.01"/>
    <n v="-0.19"/>
    <n v="-0.19"/>
    <s v="Fechamento"/>
  </r>
  <r>
    <n v="18197"/>
    <n v="6.2161999999999997"/>
    <n v="6.218"/>
    <d v="2026-01-23T13:09:26"/>
    <x v="0"/>
    <n v="-0.02"/>
    <n v="-0.02"/>
    <n v="-0.25"/>
    <n v="-0.26"/>
    <s v="Fechamento"/>
  </r>
  <r>
    <n v="18198"/>
    <n v="6.2746000000000004"/>
    <n v="6.2763"/>
    <d v="2026-01-26T13:09:03"/>
    <x v="0"/>
    <n v="0.06"/>
    <n v="0.06"/>
    <n v="0.94"/>
    <n v="0.94"/>
    <s v="Fechamento"/>
  </r>
  <r>
    <n v="18199"/>
    <n v="6.2601000000000004"/>
    <n v="6.2618999999999998"/>
    <d v="2026-01-27T13:08:26"/>
    <x v="0"/>
    <n v="-0.01"/>
    <n v="-0.01"/>
    <n v="-0.23"/>
    <n v="-0.23"/>
    <s v="Fechamento"/>
  </r>
  <r>
    <n v="18200"/>
    <n v="6.1908000000000003"/>
    <n v="6.1925999999999997"/>
    <d v="2026-01-28T13:10:27"/>
    <x v="0"/>
    <n v="-7.0000000000000007E-2"/>
    <n v="-7.0000000000000007E-2"/>
    <n v="-1.1100000000000001"/>
    <n v="-1.1100000000000001"/>
    <s v="Fechamento"/>
  </r>
  <r>
    <n v="18201"/>
    <n v="6.1966000000000001"/>
    <n v="6.1984000000000004"/>
    <d v="2026-01-29T13:08:23"/>
    <x v="0"/>
    <n v="0.01"/>
    <n v="0.01"/>
    <n v="0.09"/>
    <n v="0.09"/>
    <s v="Fechamento"/>
  </r>
  <r>
    <n v="18202"/>
    <n v="6.22"/>
    <n v="6.2217000000000002"/>
    <d v="2026-01-30T13:05:29"/>
    <x v="0"/>
    <n v="0.02"/>
    <n v="0.02"/>
    <n v="0.38"/>
    <n v="0.38"/>
    <s v="Fechamento"/>
  </r>
  <r>
    <n v="18203"/>
    <n v="6.2004000000000001"/>
    <n v="6.2016"/>
    <d v="2026-02-02T13:07:28"/>
    <x v="1"/>
    <n v="-0.02"/>
    <n v="-0.02"/>
    <n v="-0.32"/>
    <n v="-0.32"/>
    <s v="Fechamento"/>
  </r>
  <r>
    <n v="18204"/>
    <n v="6.1694000000000004"/>
    <n v="6.1711999999999998"/>
    <d v="2026-02-03T13:11:27"/>
    <x v="1"/>
    <n v="-0.03"/>
    <n v="-0.03"/>
    <n v="-0.49"/>
    <n v="-0.5"/>
    <s v="Fechamento"/>
  </r>
  <r>
    <n v="18205"/>
    <n v="6.1749999999999998"/>
    <n v="6.1768000000000001"/>
    <d v="2026-02-04T13:10:29"/>
    <x v="1"/>
    <n v="0.01"/>
    <n v="0.01"/>
    <n v="0.09"/>
    <n v="0.09"/>
    <s v="Fechamento"/>
  </r>
  <r>
    <n v="18206"/>
    <n v="6.1985000000000001"/>
    <n v="6.2001999999999997"/>
    <d v="2026-02-05T13:05:29"/>
    <x v="1"/>
    <n v="0.02"/>
    <n v="0.02"/>
    <n v="0.38"/>
    <n v="0.38"/>
    <s v="Fechamento"/>
  </r>
  <r>
    <n v="18207"/>
    <n v="6.1855000000000002"/>
    <n v="6.1867000000000001"/>
    <d v="2026-02-06T13:10:27"/>
    <x v="1"/>
    <n v="-0.01"/>
    <n v="-0.01"/>
    <n v="-0.22"/>
    <n v="-0.21"/>
    <s v="Fechamento"/>
  </r>
  <r>
    <n v="18208"/>
    <n v="6.1867000000000001"/>
    <n v="6.1879999999999997"/>
    <d v="2026-02-09T13:09:27"/>
    <x v="1"/>
    <n v="0"/>
    <n v="0"/>
    <n v="0.02"/>
    <n v="0.02"/>
    <s v="Fechamento"/>
  </r>
  <r>
    <n v="18209"/>
    <n v="6.1965000000000003"/>
    <n v="6.1982999999999997"/>
    <d v="2026-02-10T13:10:27"/>
    <x v="1"/>
    <n v="0.01"/>
    <n v="0.01"/>
    <n v="0.17"/>
    <n v="0.16"/>
    <s v="Fechamento"/>
  </r>
  <r>
    <n v="18210"/>
    <n v="6.1459999999999999"/>
    <n v="6.1477000000000004"/>
    <d v="2026-02-11T13:03:28"/>
    <x v="1"/>
    <n v="-0.05"/>
    <n v="-0.05"/>
    <n v="-0.82"/>
    <n v="-0.81"/>
    <s v="Fechamento"/>
  </r>
  <r>
    <n v="18211"/>
    <n v="6.1406999999999998"/>
    <n v="6.1425000000000001"/>
    <d v="2026-02-12T13:04:38"/>
    <x v="1"/>
    <n v="-0.01"/>
    <n v="-0.01"/>
    <n v="-0.08"/>
    <n v="-0.09"/>
    <s v="Fechamento"/>
  </r>
  <r>
    <n v="18212"/>
    <n v="6.1943999999999999"/>
    <n v="6.1955999999999998"/>
    <d v="2026-02-13T13:04:28"/>
    <x v="1"/>
    <n v="0.05"/>
    <n v="0.05"/>
    <n v="0.86"/>
    <n v="0.87"/>
    <s v="Fechamento"/>
  </r>
  <r>
    <n v="18213"/>
    <n v="6.1733000000000002"/>
    <n v="6.1745999999999999"/>
    <d v="2026-02-18T15:40:29"/>
    <x v="1"/>
    <n v="-0.02"/>
    <n v="-0.02"/>
    <n v="-0.34"/>
    <n v="-0.34"/>
    <s v="Fechamento"/>
  </r>
  <r>
    <n v="18214"/>
    <n v="6.1456"/>
    <n v="6.1475"/>
    <d v="2026-02-19T13:11:27"/>
    <x v="1"/>
    <n v="-0.03"/>
    <n v="-0.03"/>
    <n v="-0.44"/>
    <n v="-0.45"/>
    <s v="Fechamento"/>
  </r>
  <r>
    <n v="18215"/>
    <n v="6.1292"/>
    <n v="6.1310000000000002"/>
    <d v="2026-02-20T13:02:26"/>
    <x v="1"/>
    <n v="-0.02"/>
    <n v="-0.02"/>
    <n v="-0.27"/>
    <n v="-0.27"/>
    <s v="Fechamento"/>
  </r>
  <r>
    <n v="18216"/>
    <n v="6.0891000000000002"/>
    <n v="6.0903"/>
    <d v="2026-02-23T13:02:28"/>
    <x v="1"/>
    <n v="-0.04"/>
    <n v="-0.04"/>
    <n v="-0.66"/>
    <n v="-0.65"/>
    <s v="Fechamento"/>
  </r>
  <r>
    <n v="18217"/>
    <n v="6.0827999999999998"/>
    <n v="6.0845000000000002"/>
    <d v="2026-02-24T13:04:29"/>
    <x v="1"/>
    <n v="-0.01"/>
    <n v="-0.01"/>
    <n v="-0.1"/>
    <n v="-0.1"/>
    <s v="Fechamento"/>
  </r>
  <r>
    <n v="18218"/>
    <n v="6.0697000000000001"/>
    <n v="6.0709"/>
    <d v="2026-02-25T13:05:28"/>
    <x v="1"/>
    <n v="-0.01"/>
    <n v="-0.01"/>
    <n v="-0.22"/>
    <n v="-0.22"/>
    <s v="Fechamento"/>
  </r>
  <r>
    <n v="18219"/>
    <n v="6.0613000000000001"/>
    <n v="6.0631000000000004"/>
    <d v="2026-02-26T13:06:33"/>
    <x v="1"/>
    <n v="-0.01"/>
    <n v="-0.01"/>
    <n v="-0.13"/>
    <n v="-0.14000000000000001"/>
    <s v="Fechamento"/>
  </r>
  <r>
    <n v="18220"/>
    <n v="6.0762"/>
    <n v="6.0795000000000003"/>
    <d v="2026-02-27T13:02:27"/>
    <x v="1"/>
    <n v="0.02"/>
    <n v="0.01"/>
    <n v="0.27"/>
    <n v="0.25"/>
    <s v="Fechamento"/>
  </r>
  <r>
    <n v="18221"/>
    <n v="6.0724999999999998"/>
    <n v="6.0742000000000003"/>
    <d v="2026-03-02T13:09:26"/>
    <x v="2"/>
    <n v="-0.01"/>
    <n v="0"/>
    <n v="-0.09"/>
    <n v="-0.06"/>
    <s v="Fechamento"/>
  </r>
  <r>
    <n v="18222"/>
    <n v="6.1180000000000003"/>
    <n v="6.1196999999999999"/>
    <d v="2026-03-03T13:10:28"/>
    <x v="2"/>
    <n v="0.05"/>
    <n v="0.05"/>
    <n v="0.75"/>
    <n v="0.75"/>
    <s v="Fechamento"/>
  </r>
  <r>
    <n v="18223"/>
    <n v="6.0621999999999998"/>
    <n v="6.0639000000000003"/>
    <d v="2026-03-04T13:07:27"/>
    <x v="2"/>
    <n v="-0.06"/>
    <n v="-0.06"/>
    <n v="-0.91"/>
    <n v="-0.91"/>
    <s v="Fechamento"/>
  </r>
  <r>
    <n v="18224"/>
    <n v="6.0736999999999997"/>
    <n v="6.0749000000000004"/>
    <d v="2026-03-05T13:03:30"/>
    <x v="2"/>
    <n v="0.01"/>
    <n v="0.01"/>
    <n v="0.18"/>
    <n v="0.19"/>
    <s v="Fechamento"/>
  </r>
  <r>
    <n v="18225"/>
    <n v="6.1219999999999999"/>
    <n v="6.1238000000000001"/>
    <d v="2026-03-06T13:10:28"/>
    <x v="2"/>
    <n v="0.05"/>
    <n v="0.05"/>
    <n v="0.8"/>
    <n v="0.8"/>
    <s v="Fechamento"/>
  </r>
  <r>
    <n v="18226"/>
    <n v="6.0433000000000003"/>
    <n v="6.0445000000000002"/>
    <d v="2026-03-09T13:10:28"/>
    <x v="2"/>
    <n v="-0.08"/>
    <n v="-0.08"/>
    <n v="-1.29"/>
    <n v="-1.29"/>
    <s v="Fechamento"/>
  </r>
  <r>
    <n v="18227"/>
    <n v="6.0111999999999997"/>
    <n v="6.0129000000000001"/>
    <d v="2026-03-10T13:09:26"/>
    <x v="2"/>
    <n v="-0.03"/>
    <n v="-0.03"/>
    <n v="-0.52"/>
    <n v="-0.53"/>
    <s v="Fechamento"/>
  </r>
  <r>
    <n v="18228"/>
    <n v="5.9668999999999999"/>
    <n v="5.9680999999999997"/>
    <d v="2026-03-11T13:04:26"/>
    <x v="2"/>
    <n v="-0.04"/>
    <n v="-0.04"/>
    <n v="-0.75"/>
    <n v="-0.74"/>
    <s v="Fechamento"/>
  </r>
  <r>
    <n v="18229"/>
    <n v="5.9961000000000002"/>
    <n v="5.9977999999999998"/>
    <d v="2026-03-12T13:10:29"/>
    <x v="2"/>
    <n v="0.03"/>
    <n v="0.03"/>
    <n v="0.5"/>
    <n v="0.49"/>
    <s v="Fechamento"/>
  </r>
  <r>
    <n v="18230"/>
    <n v="6.0115999999999996"/>
    <n v="6.0128000000000004"/>
    <d v="2026-03-13T13:03:29"/>
    <x v="2"/>
    <n v="0.02"/>
    <n v="0.02"/>
    <n v="0.25"/>
    <n v="0.26"/>
    <s v="Fechamento"/>
  </r>
  <r>
    <n v="18231"/>
    <n v="6.0457999999999998"/>
    <n v="6.0476000000000001"/>
    <d v="2026-03-16T13:08:25"/>
    <x v="2"/>
    <n v="0.03"/>
    <n v="0.03"/>
    <n v="0.57999999999999996"/>
    <n v="0.56999999999999995"/>
    <s v="Fechamento"/>
  </r>
  <r>
    <n v="18232"/>
    <n v="5.9943"/>
    <n v="5.9961000000000002"/>
    <d v="2026-03-17T13:09:33"/>
    <x v="2"/>
    <n v="-0.05"/>
    <n v="-0.05"/>
    <n v="-0.85"/>
    <n v="-0.85"/>
    <s v="Fechamento"/>
  </r>
  <r>
    <n v="18233"/>
    <n v="5.9984000000000002"/>
    <n v="6.0002000000000004"/>
    <d v="2026-03-18T13:08:33"/>
    <x v="2"/>
    <n v="0"/>
    <n v="0"/>
    <n v="7.0000000000000007E-2"/>
    <n v="7.0000000000000007E-2"/>
    <s v="Fechamento"/>
  </r>
  <r>
    <n v="18234"/>
    <n v="6.0537000000000001"/>
    <n v="6.0553999999999997"/>
    <d v="2026-03-19T13:02:27"/>
    <x v="2"/>
    <n v="0.06"/>
    <n v="0.06"/>
    <n v="0.92"/>
    <n v="0.92"/>
    <s v="Fechamento"/>
  </r>
  <r>
    <n v="18235"/>
    <n v="6.0933999999999999"/>
    <n v="6.0952000000000002"/>
    <d v="2026-03-20T13:11:28"/>
    <x v="2"/>
    <n v="0.04"/>
    <n v="0.04"/>
    <n v="0.66"/>
    <n v="0.66"/>
    <s v="Fechamento"/>
  </r>
  <r>
    <n v="18236"/>
    <n v="6.0734000000000004"/>
    <n v="6.0757000000000003"/>
    <d v="2026-03-23T13:11:28"/>
    <x v="2"/>
    <n v="-0.02"/>
    <n v="-0.02"/>
    <n v="-0.32"/>
    <n v="-0.33"/>
    <s v="Fechamento"/>
  </r>
  <r>
    <n v="18237"/>
    <n v="6.0887000000000002"/>
    <n v="6.0903999999999998"/>
    <d v="2026-03-24T13:09:29"/>
    <x v="2"/>
    <n v="0.01"/>
    <n v="0.02"/>
    <n v="0.24"/>
    <n v="0.25"/>
    <s v="Fechamento"/>
  </r>
  <r>
    <n v="18238"/>
    <n v="6.0469999999999997"/>
    <n v="6.0481999999999996"/>
    <d v="2026-03-25T13:08:34"/>
    <x v="2"/>
    <n v="-0.04"/>
    <n v="-0.04"/>
    <n v="-0.69"/>
    <n v="-0.68"/>
    <s v="Fechamento"/>
  </r>
  <r>
    <n v="18239"/>
    <n v="6.0362"/>
    <n v="6.0373999999999999"/>
    <d v="2026-03-26T13:11:09"/>
    <x v="2"/>
    <n v="-0.01"/>
    <n v="-0.01"/>
    <n v="-0.18"/>
    <n v="-0.18"/>
    <s v="Fechamento"/>
  </r>
  <r>
    <n v="18240"/>
    <n v="6.0324999999999998"/>
    <n v="6.0336999999999996"/>
    <d v="2026-03-27T13:11:42"/>
    <x v="2"/>
    <n v="0"/>
    <n v="0"/>
    <n v="-0.06"/>
    <n v="-0.06"/>
    <s v="Fechamento"/>
  </r>
  <r>
    <n v="18241"/>
    <n v="5.9958"/>
    <n v="5.9969999999999999"/>
    <d v="2026-03-30T13:10:28"/>
    <x v="2"/>
    <n v="-0.04"/>
    <n v="-0.04"/>
    <n v="-0.61"/>
    <n v="-0.61"/>
    <s v="Fechamento"/>
  </r>
  <r>
    <n v="18242"/>
    <n v="6.01"/>
    <n v="6.0117000000000003"/>
    <d v="2026-03-31T13:04:23"/>
    <x v="2"/>
    <n v="0.01"/>
    <n v="0.01"/>
    <n v="0.25"/>
    <n v="0.24"/>
    <s v="Fechamento"/>
  </r>
  <r>
    <n v="18243"/>
    <n v="5.9923000000000002"/>
    <n v="5.9935"/>
    <d v="2026-04-01T13:06:28"/>
    <x v="3"/>
    <n v="-0.02"/>
    <n v="-0.02"/>
    <n v="-0.3"/>
    <n v="-0.28999999999999998"/>
    <s v="Fechamento"/>
  </r>
  <r>
    <n v="18244"/>
    <n v="5.9629000000000003"/>
    <n v="5.9641000000000002"/>
    <d v="2026-04-02T13:10:27"/>
    <x v="3"/>
    <n v="-0.03"/>
    <n v="-0.03"/>
    <n v="-0.49"/>
    <n v="-0.49"/>
    <s v="Fechamento"/>
  </r>
  <r>
    <n v="18245"/>
    <n v="5.9476000000000004"/>
    <n v="5.9499000000000004"/>
    <d v="2026-04-06T13:06:25"/>
    <x v="3"/>
    <n v="-0.01"/>
    <n v="-0.02"/>
    <n v="-0.24"/>
    <n v="-0.26"/>
    <s v="Fechamento"/>
  </r>
  <r>
    <n v="18246"/>
    <n v="5.9728000000000003"/>
    <n v="5.9740000000000002"/>
    <d v="2026-04-07T13:08:26"/>
    <x v="3"/>
    <n v="0.02"/>
    <n v="0.03"/>
    <n v="0.41"/>
    <n v="0.42"/>
    <s v="Fechamento"/>
  </r>
  <r>
    <n v="18247"/>
    <n v="5.9467999999999996"/>
    <n v="5.9485999999999999"/>
    <d v="2026-04-08T13:02:29"/>
    <x v="3"/>
    <n v="-0.03"/>
    <n v="-0.03"/>
    <n v="-0.43"/>
    <n v="-0.44"/>
    <s v="Fechamento"/>
  </r>
  <r>
    <n v="18248"/>
    <n v="5.9478999999999997"/>
    <n v="5.9490999999999996"/>
    <d v="2026-04-09T13:10:30"/>
    <x v="3"/>
    <n v="0"/>
    <n v="0"/>
    <n v="0.01"/>
    <n v="0.02"/>
    <s v="Fechamento"/>
  </r>
  <r>
    <n v="18249"/>
    <n v="5.8865999999999996"/>
    <n v="5.8883000000000001"/>
    <d v="2026-04-10T13:04:25"/>
    <x v="3"/>
    <n v="-0.06"/>
    <n v="-0.06"/>
    <n v="-1.02"/>
    <n v="-1.03"/>
    <s v="Fechamento"/>
  </r>
  <r>
    <n v="18250"/>
    <n v="5.8823999999999996"/>
    <n v="5.8841000000000001"/>
    <d v="2026-04-13T13:04:54"/>
    <x v="3"/>
    <n v="0"/>
    <n v="0"/>
    <n v="-7.0000000000000007E-2"/>
    <n v="-7.0000000000000007E-2"/>
    <s v="Fechamento"/>
  </r>
  <r>
    <n v="18251"/>
    <n v="5.8708999999999998"/>
    <n v="5.8726000000000003"/>
    <d v="2026-04-14T13:03:27"/>
    <x v="3"/>
    <n v="-0.01"/>
    <n v="-0.01"/>
    <n v="-0.2"/>
    <n v="-0.2"/>
    <s v="Fechamento"/>
  </r>
  <r>
    <n v="18252"/>
    <n v="5.8898000000000001"/>
    <n v="5.891"/>
    <d v="2026-04-15T13:06:26"/>
    <x v="3"/>
    <n v="0.02"/>
    <n v="0.02"/>
    <n v="0.31"/>
    <n v="0.32"/>
    <s v="Fechamento"/>
  </r>
  <r>
    <n v="18253"/>
    <n v="5.8906000000000001"/>
    <n v="5.8922999999999996"/>
    <d v="2026-04-16T13:03:29"/>
    <x v="3"/>
    <n v="0"/>
    <n v="0"/>
    <n v="0.02"/>
    <n v="0.01"/>
    <s v="Fechamento"/>
  </r>
  <r>
    <n v="18254"/>
    <n v="5.8632999999999997"/>
    <n v="5.8644999999999996"/>
    <d v="2026-04-17T13:09:27"/>
    <x v="3"/>
    <n v="-0.03"/>
    <n v="-0.03"/>
    <n v="-0.47"/>
    <n v="-0.46"/>
    <s v="Fechamento"/>
  </r>
  <r>
    <n v="18255"/>
    <n v="5.8728999999999996"/>
    <n v="5.8741000000000003"/>
    <d v="2026-04-20T13:02:26"/>
    <x v="3"/>
    <n v="0.01"/>
    <n v="0.01"/>
    <n v="0.16"/>
    <n v="0.16"/>
    <s v="Fechamento"/>
  </r>
  <r>
    <n v="18256"/>
    <n v="5.8151999999999999"/>
    <n v="5.8163999999999998"/>
    <d v="2026-04-22T13:11:28"/>
    <x v="3"/>
    <n v="-0.06"/>
    <n v="-0.06"/>
    <n v="-0.98"/>
    <n v="-0.98"/>
    <s v="Fechamento"/>
  </r>
  <r>
    <n v="18257"/>
    <n v="5.7968000000000002"/>
    <n v="5.7984999999999998"/>
    <d v="2026-04-23T13:03:26"/>
    <x v="3"/>
    <n v="-0.02"/>
    <n v="-0.02"/>
    <n v="-0.31"/>
    <n v="-0.32"/>
    <s v="Fechamento"/>
  </r>
  <r>
    <n v="18258"/>
    <n v="5.8674999999999997"/>
    <n v="5.8692000000000002"/>
    <d v="2026-04-24T13:06:16"/>
    <x v="3"/>
    <n v="7.0000000000000007E-2"/>
    <n v="7.0000000000000007E-2"/>
    <n v="1.22"/>
    <n v="1.22"/>
    <s v="Fechamento"/>
  </r>
  <r>
    <n v="18259"/>
    <n v="5.8291000000000004"/>
    <n v="5.8303000000000003"/>
    <d v="2026-04-27T13:06:14"/>
    <x v="3"/>
    <n v="-0.04"/>
    <n v="-0.04"/>
    <n v="-0.66"/>
    <n v="-0.65"/>
    <s v="Fechamento"/>
  </r>
  <r>
    <n v="18260"/>
    <n v="5.8419999999999996"/>
    <n v="5.8432000000000004"/>
    <d v="2026-04-28T13:10:26"/>
    <x v="3"/>
    <n v="0.01"/>
    <n v="0.01"/>
    <n v="0.22"/>
    <n v="0.22"/>
    <s v="Fechamento"/>
  </r>
  <r>
    <n v="18261"/>
    <n v="5.8445"/>
    <n v="5.8456999999999999"/>
    <d v="2026-04-29T13:11:25"/>
    <x v="3"/>
    <n v="0"/>
    <n v="0"/>
    <n v="0.04"/>
    <n v="0.04"/>
    <s v="Fechamento"/>
  </r>
  <r>
    <n v="18262"/>
    <n v="5.8498999999999999"/>
    <n v="5.8510999999999997"/>
    <d v="2026-04-30T13:06:28"/>
    <x v="3"/>
    <n v="0.01"/>
    <n v="0.01"/>
    <n v="0.09"/>
    <n v="0.09"/>
    <s v="Fechamento"/>
  </r>
  <r>
    <n v="18263"/>
    <n v="5.7995000000000001"/>
    <n v="5.8007"/>
    <d v="2026-05-04T13:09:26"/>
    <x v="4"/>
    <n v="-0.05"/>
    <n v="-0.05"/>
    <n v="-0.86"/>
    <n v="-0.86"/>
    <s v="Fechamento"/>
  </r>
  <r>
    <n v="18264"/>
    <n v="5.7636000000000003"/>
    <n v="5.7648000000000001"/>
    <d v="2026-05-05T13:04:26"/>
    <x v="4"/>
    <n v="-0.04"/>
    <n v="-0.04"/>
    <n v="-0.62"/>
    <n v="-0.62"/>
    <s v="Fechamento"/>
  </r>
  <r>
    <n v="18265"/>
    <n v="5.79"/>
    <n v="5.7911999999999999"/>
    <d v="2026-05-06T13:08:28"/>
    <x v="4"/>
    <n v="0.03"/>
    <n v="0.03"/>
    <n v="0.46"/>
    <n v="0.46"/>
    <s v="Fechamento"/>
  </r>
  <r>
    <n v="18266"/>
    <n v="5.7831999999999999"/>
    <n v="5.7843999999999998"/>
    <d v="2026-05-07T13:09:29"/>
    <x v="4"/>
    <n v="-0.01"/>
    <n v="-0.01"/>
    <n v="-0.12"/>
    <n v="-0.12"/>
    <s v="Fechamento"/>
  </r>
  <r>
    <n v="18267"/>
    <n v="5.7675000000000001"/>
    <n v="5.7690999999999999"/>
    <d v="2026-05-08T13:05:32"/>
    <x v="4"/>
    <n v="-0.02"/>
    <n v="-0.02"/>
    <n v="-0.26"/>
    <n v="-0.27"/>
    <s v="Fechamento"/>
  </r>
  <r>
    <n v="18268"/>
    <n v="5.7678000000000003"/>
    <n v="5.7694999999999999"/>
    <d v="2026-05-11T13:08:25"/>
    <x v="4"/>
    <n v="0"/>
    <n v="0"/>
    <n v="0.01"/>
    <n v="0.01"/>
    <s v="Fechamento"/>
  </r>
  <r>
    <n v="18269"/>
    <n v="5.7453000000000003"/>
    <n v="5.7465000000000002"/>
    <d v="2026-05-12T13:11:27"/>
    <x v="4"/>
    <n v="-0.02"/>
    <n v="-0.02"/>
    <n v="-0.4"/>
    <n v="-0.39"/>
    <s v="Fechamento"/>
  </r>
  <r>
    <n v="18270"/>
    <n v="5.7510000000000003"/>
    <n v="5.7522000000000002"/>
    <d v="2026-05-13T13:17:55"/>
    <x v="4"/>
    <n v="0.01"/>
    <n v="0.01"/>
    <n v="0.1"/>
    <n v="0.1"/>
    <s v="Fechamento"/>
  </r>
  <r>
    <n v="18271"/>
    <n v="5.8155000000000001"/>
    <n v="5.8167"/>
    <d v="2026-05-14T13:03:15"/>
    <x v="4"/>
    <n v="0.06"/>
    <n v="0.06"/>
    <n v="1.1200000000000001"/>
    <n v="1.1200000000000001"/>
    <s v="Fechamento"/>
  </r>
  <r>
    <n v="18272"/>
    <n v="5.8883000000000001"/>
    <n v="5.89"/>
    <d v="2026-05-15T13:08:27"/>
    <x v="4"/>
    <n v="7.0000000000000007E-2"/>
    <n v="7.0000000000000007E-2"/>
    <n v="1.26"/>
    <n v="1.25"/>
    <s v="Fechamento"/>
  </r>
  <r>
    <n v="18273"/>
    <n v="5.8341000000000003"/>
    <n v="5.8357999999999999"/>
    <d v="2026-05-18T13:04:26"/>
    <x v="4"/>
    <n v="-0.05"/>
    <n v="-0.05"/>
    <n v="-0.92"/>
    <n v="-0.92"/>
    <s v="Fechament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D76430-5061-4A96-9386-CB55535AE9D0}" name="PivotMin_Euro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B36" firstHeaderRow="1" firstDataRow="1" firstDataCol="1"/>
  <pivotFields count="10">
    <pivotField showAll="0"/>
    <pivotField showAll="0"/>
    <pivotField dataField="1" showAll="0"/>
    <pivotField numFmtId="164"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Min of cotacao_venda" fld="2" subtotal="min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8FD95E-D68D-44C8-88B1-A8D22C463E1D}" name="PivotMax_Euro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2:B8" firstHeaderRow="1" firstDataRow="1" firstDataCol="1"/>
  <pivotFields count="10">
    <pivotField showAll="0"/>
    <pivotField showAll="0"/>
    <pivotField dataField="1" showAll="0"/>
    <pivotField numFmtId="164"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Max of cotacao_venda" fld="2" subtotal="max" baseField="0" baseItem="0" numFmtId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A59BF5-5999-40A9-80AA-9325A264BA70}" name="Pivot_Dolar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:D9" firstHeaderRow="0" firstDataRow="1" firstDataCol="1"/>
  <pivotFields count="10">
    <pivotField showAll="0"/>
    <pivotField showAll="0"/>
    <pivotField dataField="1" showAll="0"/>
    <pivotField numFmtId="164"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ólar" fld="2" subtotal="average" baseField="0" baseItem="0" numFmtId="2"/>
    <dataField name="Menor Valor Dólar" fld="2" subtotal="min" baseField="0" baseItem="0" numFmtId="2"/>
    <dataField name="Maior Valor Dólar" fld="2" subtotal="max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8B2F52-C96B-43ED-BC3A-A52E2B649913}" name="Pivot_Euro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0:D26" firstHeaderRow="0" firstDataRow="1" firstDataCol="1"/>
  <pivotFields count="10">
    <pivotField showAll="0"/>
    <pivotField showAll="0"/>
    <pivotField dataField="1" showAll="0"/>
    <pivotField numFmtId="164"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Euro" fld="2" subtotal="average" baseField="0" baseItem="0" numFmtId="2"/>
    <dataField name="Menor Valor Euro" fld="2" subtotal="min" baseField="0" baseItem="0" numFmtId="2"/>
    <dataField name="Maior Valor Euro" fld="2" subtotal="max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3FC11C-9130-4AEE-986B-818AC8E367AA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24:B30" firstHeaderRow="1" firstDataRow="1" firstDataCol="1"/>
  <pivotFields count="11">
    <pivotField showAll="0"/>
    <pivotField showAll="0"/>
    <pivotField dataField="1" showAll="0"/>
    <pivotField numFmtId="22" showAll="0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0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Min of cotacao_venda" fld="2" subtotal="min" baseField="0" baseItem="0" numFmtId="2"/>
  </dataFields>
  <formats count="1">
    <format dxfId="0">
      <pivotArea outline="0" collapsedLevelsAreSubtotals="1" fieldPosition="0"/>
    </format>
  </formats>
  <chartFormats count="1">
    <chartFormat chart="0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320B4F-45E1-4B38-92BE-34825267670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A3:B9" firstHeaderRow="1" firstDataRow="1" firstDataCol="1"/>
  <pivotFields count="11">
    <pivotField showAll="0"/>
    <pivotField showAll="0"/>
    <pivotField dataField="1" showAll="0"/>
    <pivotField numFmtId="22" showAll="0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t="default"/>
      </items>
    </pivotField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0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Max of cotacao_venda" fld="2" subtotal="max" baseField="10" baseItem="1" numFmtId="2"/>
  </dataFields>
  <formats count="1">
    <format dxfId="1">
      <pivotArea outline="0" collapsedLevelsAreSubtotals="1" fieldPosition="0"/>
    </format>
  </formats>
  <chartFormats count="1"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D5D168-3D08-44A2-A469-CFB1F0621C69}" name="euro_table" displayName="euro_table" ref="A1:J93" totalsRowShown="0" headerRowDxfId="5">
  <autoFilter ref="A1:J93" xr:uid="{3FD5D168-3D08-44A2-A469-CFB1F0621C69}"/>
  <tableColumns count="10">
    <tableColumn id="1" xr3:uid="{F2B51466-AEDB-4D7B-9664-919A7021AEE2}" name="id"/>
    <tableColumn id="2" xr3:uid="{084DD2D0-1318-46BD-B199-C52B6E9CCA45}" name="cotacao_compra"/>
    <tableColumn id="3" xr3:uid="{11468206-DBA6-409D-9AF8-F3D68E0432F7}" name="cotacao_venda"/>
    <tableColumn id="4" xr3:uid="{FC0130A8-9491-481A-9A9F-DFA6D994ED1D}" name="datahoracotacao" dataDxfId="4"/>
    <tableColumn id="5" xr3:uid="{375296CD-B6B4-479C-8345-E0EDCE89E8D3}" name="mês"/>
    <tableColumn id="6" xr3:uid="{3DC98419-62C2-4C13-8746-44DF09506280}" name="variacao_venda"/>
    <tableColumn id="7" xr3:uid="{57120D31-75E2-4D0D-BB92-CAB8BF492286}" name="variacao_compra"/>
    <tableColumn id="8" xr3:uid="{7228DB7C-44A9-4297-8AEF-11CEDF093BAE}" name="variacao_pct_venda"/>
    <tableColumn id="9" xr3:uid="{BC424510-3E71-46DF-9A77-A59B4EB628D1}" name="variacao_pct_compra"/>
    <tableColumn id="10" xr3:uid="{965FFF6C-AE18-4A1E-8C31-894C95BCFF9F}" name="tipoboletim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D47F29-E635-4354-ADA0-D0EDD3CA4418}" name="dolar_table" displayName="dolar_table" ref="A1:J93" totalsRowShown="0" headerRowDxfId="3">
  <autoFilter ref="A1:J93" xr:uid="{44D47F29-E635-4354-ADA0-D0EDD3CA4418}"/>
  <tableColumns count="10">
    <tableColumn id="1" xr3:uid="{7506738F-930F-4EB4-8645-FD2902563E10}" name="id"/>
    <tableColumn id="2" xr3:uid="{E1354E52-2E24-49FC-A3D1-727DBBA3D227}" name="cotacao_compra"/>
    <tableColumn id="3" xr3:uid="{A24D628D-1EC7-4D0C-8FB4-F421F04ED962}" name="cotacao_venda"/>
    <tableColumn id="4" xr3:uid="{F70DFD0B-0045-4785-93B2-95DEC32782B4}" name="datahoracotacao" dataDxfId="2"/>
    <tableColumn id="5" xr3:uid="{BDD6BB17-61FB-4946-AC92-9D52E7A7F9E5}" name="mês"/>
    <tableColumn id="6" xr3:uid="{3C1C6CDE-1D7C-4F0A-AFE4-E057CF694575}" name="variacao_venda"/>
    <tableColumn id="7" xr3:uid="{5C9D3A2C-BEBA-4059-A984-2BCD4E00B0A4}" name="variacao_compra"/>
    <tableColumn id="8" xr3:uid="{273A914A-C365-427C-BADA-C8C721067829}" name="variacao_pct_venda"/>
    <tableColumn id="9" xr3:uid="{DC47A2CF-6234-4C08-A00C-3E1FAC0F417A}" name="variacao_pct_compra"/>
    <tableColumn id="10" xr3:uid="{89C9BC6D-ACD6-4269-BAA1-660084063664}" name="tipoboletim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linda.bcb.gov.br/olinda/servico/PTAX/versao/v1/odata/CotacaoMoedaPeriodo(moeda=@moeda,dataInicial=@dataInicial,dataFinalCotacao=@dataFinalCotacao)?@moeda='EUR'&amp;@dataInicial='01-01-2026'&amp;@dataFinalCotacao='05-18-2026'&amp;$top=1000&amp;$filter=tipoBoletim%20eq%20'Fechamento'&amp;$orderby=dataHoraCotacao&amp;$format=json&amp;$select=cotacaoCompra,cotacaoVenda,dataHoraCotacao,tipoBoletim" TargetMode="External"/><Relationship Id="rId1" Type="http://schemas.openxmlformats.org/officeDocument/2006/relationships/hyperlink" Target="https://olinda.bcb.gov.br/olinda/servico/PTAX/versao/v1/odata/CotacaoMoedaPeriodo(moeda=@moeda,dataInicial=@dataInicial,dataFinalCotacao=@dataFinalCotacao)?@moeda='USD'&amp;@dataInicial='01-01-2026'&amp;@dataFinalCotacao='05-18-2026'&amp;$top=1000&amp;$filter=tipoBoletim%20eq%20'Fechamento'&amp;$orderby=dataHoraCotacao&amp;$format=json&amp;$select=cotacaoCompra,cotacaoVenda,dataHoraCotacao,tipoBoletim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C005C-3D7A-4F6D-AAB2-40079E4DCA2F}">
  <sheetPr codeName="Sheet1">
    <tabColor theme="3" tint="0.249977111117893"/>
  </sheetPr>
  <dimension ref="B1:S32"/>
  <sheetViews>
    <sheetView tabSelected="1" zoomScaleNormal="100" workbookViewId="0">
      <selection activeCell="O29" sqref="O29"/>
    </sheetView>
  </sheetViews>
  <sheetFormatPr defaultRowHeight="15" x14ac:dyDescent="0.25"/>
  <cols>
    <col min="2" max="2" width="16.7109375" customWidth="1"/>
    <col min="3" max="3" width="15.42578125" customWidth="1"/>
  </cols>
  <sheetData>
    <row r="1" s="9" customFormat="1" x14ac:dyDescent="0.25"/>
    <row r="2" s="9" customFormat="1" x14ac:dyDescent="0.25"/>
    <row r="3" s="9" customFormat="1" x14ac:dyDescent="0.25"/>
    <row r="4" s="9" customFormat="1" x14ac:dyDescent="0.25"/>
    <row r="5" s="8" customFormat="1" x14ac:dyDescent="0.25"/>
    <row r="6" s="7" customFormat="1" x14ac:dyDescent="0.25"/>
    <row r="7" s="7" customFormat="1" x14ac:dyDescent="0.25"/>
    <row r="8" s="7" customFormat="1" ht="12.75" customHeight="1" x14ac:dyDescent="0.25"/>
    <row r="9" s="7" customFormat="1" ht="16.5" customHeight="1" x14ac:dyDescent="0.25"/>
    <row r="19" spans="2:19" x14ac:dyDescent="0.25">
      <c r="P19" s="15"/>
      <c r="Q19" s="15"/>
      <c r="R19" s="20"/>
      <c r="S19" s="20"/>
    </row>
    <row r="22" spans="2:19" x14ac:dyDescent="0.25">
      <c r="B22" s="18" t="s">
        <v>12</v>
      </c>
      <c r="C22" s="19"/>
    </row>
    <row r="23" spans="2:19" x14ac:dyDescent="0.25">
      <c r="B23" s="5" t="s">
        <v>13</v>
      </c>
      <c r="C23" s="5" t="s">
        <v>10</v>
      </c>
    </row>
    <row r="24" spans="2:19" ht="15.75" thickBot="1" x14ac:dyDescent="0.3">
      <c r="B24" s="3">
        <f ca="1">DATE(YEAR(C24),1,1)</f>
        <v>46023</v>
      </c>
      <c r="C24" s="3">
        <f ca="1">TODAY()</f>
        <v>46175</v>
      </c>
    </row>
    <row r="25" spans="2:19" ht="16.5" thickTop="1" thickBot="1" x14ac:dyDescent="0.3">
      <c r="B25" s="2" t="s">
        <v>9</v>
      </c>
      <c r="C25" s="4" t="s">
        <v>26</v>
      </c>
    </row>
    <row r="26" spans="2:19" ht="15.75" thickTop="1" x14ac:dyDescent="0.25">
      <c r="C26" s="1"/>
    </row>
    <row r="28" spans="2:19" x14ac:dyDescent="0.25">
      <c r="B28" s="16" t="s">
        <v>11</v>
      </c>
      <c r="C28" s="17"/>
    </row>
    <row r="29" spans="2:19" x14ac:dyDescent="0.25">
      <c r="B29" s="5" t="s">
        <v>13</v>
      </c>
      <c r="C29" s="5" t="s">
        <v>10</v>
      </c>
    </row>
    <row r="30" spans="2:19" ht="15.75" thickBot="1" x14ac:dyDescent="0.3">
      <c r="B30" s="3">
        <f ca="1">DATE(YEAR(C30),1,1)</f>
        <v>46023</v>
      </c>
      <c r="C30" s="3">
        <f ca="1">TODAY()</f>
        <v>46175</v>
      </c>
    </row>
    <row r="31" spans="2:19" ht="16.5" thickTop="1" thickBot="1" x14ac:dyDescent="0.3">
      <c r="B31" s="2" t="s">
        <v>9</v>
      </c>
      <c r="C31" s="4" t="s">
        <v>25</v>
      </c>
    </row>
    <row r="32" spans="2:19" ht="15.75" thickTop="1" x14ac:dyDescent="0.25">
      <c r="C32" s="1"/>
    </row>
  </sheetData>
  <mergeCells count="3">
    <mergeCell ref="B28:C28"/>
    <mergeCell ref="B22:C22"/>
    <mergeCell ref="R19:S19"/>
  </mergeCells>
  <hyperlinks>
    <hyperlink ref="C31" r:id="rId1" display="https://olinda.bcb.gov.br/olinda/servico/PTAX/versao/v1/odata/CotacaoMoedaPeriodo(moeda=@moeda,dataInicial=@dataInicial,dataFinalCotacao=@dataFinalCotacao)?@moeda='USD'&amp;@dataInicial='01-01-2026'&amp;@dataFinalCotacao='05-18-2026'&amp;$top=1000&amp;$filter=tipoBoletim eq 'Fechamento'&amp;$orderby=dataHoraCotacao&amp;$format=json&amp;$select=cotacaoCompra,cotacaoVenda,dataHoraCotacao,tipoBoletim" xr:uid="{789CCFD0-B0EB-4463-A8EA-1EAC617B887B}"/>
    <hyperlink ref="C25" r:id="rId2" display="https://olinda.bcb.gov.br/olinda/servico/PTAX/versao/v1/odata/CotacaoMoedaPeriodo(moeda=@moeda,dataInicial=@dataInicial,dataFinalCotacao=@dataFinalCotacao)?@moeda='EUR'&amp;@dataInicial='01-01-2026'&amp;@dataFinalCotacao='05-18-2026'&amp;$top=1000&amp;$filter=tipoBoletim eq 'Fechamento'&amp;$orderby=dataHoraCotacao&amp;$format=json&amp;$select=cotacaoCompra,cotacaoVenda,dataHoraCotacao,tipoBoletim" xr:uid="{B6A61DD9-FF85-4908-B400-E4E5164650ED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AtualizarUrlsMoedas">
                <anchor moveWithCells="1" sizeWithCells="1">
                  <from>
                    <xdr:col>4</xdr:col>
                    <xdr:colOff>247650</xdr:colOff>
                    <xdr:row>13</xdr:row>
                    <xdr:rowOff>0</xdr:rowOff>
                  </from>
                  <to>
                    <xdr:col>7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Save_Spreadsheet">
                <anchor moveWithCells="1" sizeWithCells="1">
                  <from>
                    <xdr:col>11</xdr:col>
                    <xdr:colOff>361950</xdr:colOff>
                    <xdr:row>19</xdr:row>
                    <xdr:rowOff>171450</xdr:rowOff>
                  </from>
                  <to>
                    <xdr:col>14</xdr:col>
                    <xdr:colOff>457200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mportarDadosPostgres.ImportarDadosPostgres">
                <anchor moveWithCells="1" sizeWithCells="1">
                  <from>
                    <xdr:col>11</xdr:col>
                    <xdr:colOff>371475</xdr:colOff>
                    <xdr:row>13</xdr:row>
                    <xdr:rowOff>0</xdr:rowOff>
                  </from>
                  <to>
                    <xdr:col>14</xdr:col>
                    <xdr:colOff>342900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AbrirVSCode.AbrirVSCode">
                <anchor moveWithCells="1" sizeWithCells="1">
                  <from>
                    <xdr:col>8</xdr:col>
                    <xdr:colOff>57150</xdr:colOff>
                    <xdr:row>12</xdr:row>
                    <xdr:rowOff>180975</xdr:rowOff>
                  </from>
                  <to>
                    <xdr:col>11</xdr:col>
                    <xdr:colOff>47625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iarGraficosEuroEDolar">
                <anchor moveWithCells="1" sizeWithCells="1">
                  <from>
                    <xdr:col>15</xdr:col>
                    <xdr:colOff>104775</xdr:colOff>
                    <xdr:row>13</xdr:row>
                    <xdr:rowOff>0</xdr:rowOff>
                  </from>
                  <to>
                    <xdr:col>18</xdr:col>
                    <xdr:colOff>200025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CriarPivotTablesDolarEuro">
                <anchor moveWithCells="1" sizeWithCells="1">
                  <from>
                    <xdr:col>7</xdr:col>
                    <xdr:colOff>304800</xdr:colOff>
                    <xdr:row>20</xdr:row>
                    <xdr:rowOff>0</xdr:rowOff>
                  </from>
                  <to>
                    <xdr:col>10</xdr:col>
                    <xdr:colOff>400050</xdr:colOff>
                    <xdr:row>25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B4611-E89C-4C1B-BB9C-D74530C70F35}">
  <sheetPr codeName="Sheet2">
    <tabColor theme="6" tint="0.59999389629810485"/>
  </sheetPr>
  <dimension ref="A1:J1090"/>
  <sheetViews>
    <sheetView topLeftCell="A70" workbookViewId="0">
      <selection activeCell="A2" sqref="A2:J93"/>
    </sheetView>
  </sheetViews>
  <sheetFormatPr defaultRowHeight="15" x14ac:dyDescent="0.25"/>
  <cols>
    <col min="1" max="7" width="20.28515625" customWidth="1"/>
    <col min="8" max="8" width="20.5703125" customWidth="1"/>
    <col min="9" max="9" width="22.140625" customWidth="1"/>
    <col min="10" max="10" width="20.42578125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24</v>
      </c>
      <c r="F1" s="14" t="s">
        <v>4</v>
      </c>
      <c r="G1" s="14" t="s">
        <v>5</v>
      </c>
      <c r="H1" s="14" t="s">
        <v>6</v>
      </c>
      <c r="I1" s="14" t="s">
        <v>7</v>
      </c>
      <c r="J1" s="14" t="s">
        <v>8</v>
      </c>
    </row>
    <row r="2" spans="1:10" x14ac:dyDescent="0.25">
      <c r="A2">
        <v>18182</v>
      </c>
      <c r="B2">
        <v>6.3879999999999999</v>
      </c>
      <c r="C2">
        <v>6.3898000000000001</v>
      </c>
      <c r="D2" s="13">
        <v>46024.544131944444</v>
      </c>
      <c r="E2" t="s">
        <v>17</v>
      </c>
      <c r="F2">
        <v>0</v>
      </c>
      <c r="G2">
        <v>0</v>
      </c>
      <c r="H2">
        <v>0</v>
      </c>
      <c r="I2">
        <v>0</v>
      </c>
      <c r="J2" t="s">
        <v>14</v>
      </c>
    </row>
    <row r="3" spans="1:10" x14ac:dyDescent="0.25">
      <c r="A3">
        <v>18183</v>
      </c>
      <c r="B3">
        <v>6.3605</v>
      </c>
      <c r="C3">
        <v>6.3617999999999997</v>
      </c>
      <c r="D3" s="13">
        <v>46027.548784722225</v>
      </c>
      <c r="E3" t="s">
        <v>17</v>
      </c>
      <c r="F3">
        <v>-0.03</v>
      </c>
      <c r="G3">
        <v>-0.03</v>
      </c>
      <c r="H3">
        <v>-0.44</v>
      </c>
      <c r="I3">
        <v>-0.43</v>
      </c>
      <c r="J3" t="s">
        <v>14</v>
      </c>
    </row>
    <row r="4" spans="1:10" x14ac:dyDescent="0.25">
      <c r="A4">
        <v>18184</v>
      </c>
      <c r="B4">
        <v>6.2908999999999997</v>
      </c>
      <c r="C4">
        <v>6.2920999999999996</v>
      </c>
      <c r="D4" s="13">
        <v>46028.550081018519</v>
      </c>
      <c r="E4" t="s">
        <v>17</v>
      </c>
      <c r="F4">
        <v>-7.0000000000000007E-2</v>
      </c>
      <c r="G4">
        <v>-7.0000000000000007E-2</v>
      </c>
      <c r="H4">
        <v>-1.1000000000000001</v>
      </c>
      <c r="I4">
        <v>-1.0900000000000001</v>
      </c>
      <c r="J4" t="s">
        <v>14</v>
      </c>
    </row>
    <row r="5" spans="1:10" x14ac:dyDescent="0.25">
      <c r="A5">
        <v>18185</v>
      </c>
      <c r="B5">
        <v>6.2972999999999999</v>
      </c>
      <c r="C5">
        <v>6.2991000000000001</v>
      </c>
      <c r="D5" s="13">
        <v>46029.54614583333</v>
      </c>
      <c r="E5" t="s">
        <v>17</v>
      </c>
      <c r="F5">
        <v>0.01</v>
      </c>
      <c r="G5">
        <v>0.01</v>
      </c>
      <c r="H5">
        <v>0.11</v>
      </c>
      <c r="I5">
        <v>0.1</v>
      </c>
      <c r="J5" t="s">
        <v>14</v>
      </c>
    </row>
    <row r="6" spans="1:10" x14ac:dyDescent="0.25">
      <c r="A6">
        <v>18186</v>
      </c>
      <c r="B6">
        <v>6.2820999999999998</v>
      </c>
      <c r="C6">
        <v>6.2838000000000003</v>
      </c>
      <c r="D6" s="13">
        <v>46030.54478009259</v>
      </c>
      <c r="E6" t="s">
        <v>17</v>
      </c>
      <c r="F6">
        <v>-0.02</v>
      </c>
      <c r="G6">
        <v>-0.02</v>
      </c>
      <c r="H6">
        <v>-0.24</v>
      </c>
      <c r="I6">
        <v>-0.24</v>
      </c>
      <c r="J6" t="s">
        <v>14</v>
      </c>
    </row>
    <row r="7" spans="1:10" x14ac:dyDescent="0.25">
      <c r="A7">
        <v>18187</v>
      </c>
      <c r="B7">
        <v>6.2507999999999999</v>
      </c>
      <c r="C7">
        <v>6.2526000000000002</v>
      </c>
      <c r="D7" s="13">
        <v>46031.548252314817</v>
      </c>
      <c r="E7" t="s">
        <v>17</v>
      </c>
      <c r="F7">
        <v>-0.03</v>
      </c>
      <c r="G7">
        <v>-0.03</v>
      </c>
      <c r="H7">
        <v>-0.5</v>
      </c>
      <c r="I7">
        <v>-0.5</v>
      </c>
      <c r="J7" t="s">
        <v>14</v>
      </c>
    </row>
    <row r="8" spans="1:10" x14ac:dyDescent="0.25">
      <c r="A8">
        <v>18188</v>
      </c>
      <c r="B8">
        <v>6.2789999999999999</v>
      </c>
      <c r="C8">
        <v>6.2801999999999998</v>
      </c>
      <c r="D8" s="13">
        <v>46034.54755787037</v>
      </c>
      <c r="E8" t="s">
        <v>17</v>
      </c>
      <c r="F8">
        <v>0.03</v>
      </c>
      <c r="G8">
        <v>0.03</v>
      </c>
      <c r="H8">
        <v>0.44</v>
      </c>
      <c r="I8">
        <v>0.45</v>
      </c>
      <c r="J8" t="s">
        <v>14</v>
      </c>
    </row>
    <row r="9" spans="1:10" x14ac:dyDescent="0.25">
      <c r="A9">
        <v>18189</v>
      </c>
      <c r="B9">
        <v>6.2633000000000001</v>
      </c>
      <c r="C9">
        <v>6.2651000000000003</v>
      </c>
      <c r="D9" s="13">
        <v>46035.547847222224</v>
      </c>
      <c r="E9" t="s">
        <v>17</v>
      </c>
      <c r="F9">
        <v>-0.02</v>
      </c>
      <c r="G9">
        <v>-0.02</v>
      </c>
      <c r="H9">
        <v>-0.24</v>
      </c>
      <c r="I9">
        <v>-0.25</v>
      </c>
      <c r="J9" t="s">
        <v>14</v>
      </c>
    </row>
    <row r="10" spans="1:10" x14ac:dyDescent="0.25">
      <c r="A10">
        <v>18190</v>
      </c>
      <c r="B10">
        <v>6.2713000000000001</v>
      </c>
      <c r="C10">
        <v>6.2729999999999997</v>
      </c>
      <c r="D10" s="13">
        <v>46036.544814814813</v>
      </c>
      <c r="E10" t="s">
        <v>17</v>
      </c>
      <c r="F10">
        <v>0.01</v>
      </c>
      <c r="G10">
        <v>0.01</v>
      </c>
      <c r="H10">
        <v>0.13</v>
      </c>
      <c r="I10">
        <v>0.13</v>
      </c>
      <c r="J10" t="s">
        <v>14</v>
      </c>
    </row>
    <row r="11" spans="1:10" x14ac:dyDescent="0.25">
      <c r="A11">
        <v>18191</v>
      </c>
      <c r="B11">
        <v>6.2465000000000002</v>
      </c>
      <c r="C11">
        <v>6.2477999999999998</v>
      </c>
      <c r="D11" s="13">
        <v>46037.545439814814</v>
      </c>
      <c r="E11" t="s">
        <v>17</v>
      </c>
      <c r="F11">
        <v>-0.03</v>
      </c>
      <c r="G11">
        <v>-0.02</v>
      </c>
      <c r="H11">
        <v>-0.4</v>
      </c>
      <c r="I11">
        <v>-0.4</v>
      </c>
      <c r="J11" t="s">
        <v>14</v>
      </c>
    </row>
    <row r="12" spans="1:10" x14ac:dyDescent="0.25">
      <c r="A12">
        <v>18192</v>
      </c>
      <c r="B12">
        <v>6.2366000000000001</v>
      </c>
      <c r="C12">
        <v>6.2384000000000004</v>
      </c>
      <c r="D12" s="13">
        <v>46038.544745370367</v>
      </c>
      <c r="E12" t="s">
        <v>17</v>
      </c>
      <c r="F12">
        <v>-0.01</v>
      </c>
      <c r="G12">
        <v>-0.01</v>
      </c>
      <c r="H12">
        <v>-0.15</v>
      </c>
      <c r="I12">
        <v>-0.16</v>
      </c>
      <c r="J12" t="s">
        <v>14</v>
      </c>
    </row>
    <row r="13" spans="1:10" x14ac:dyDescent="0.25">
      <c r="A13">
        <v>18193</v>
      </c>
      <c r="B13">
        <v>6.2439999999999998</v>
      </c>
      <c r="C13">
        <v>6.2457000000000003</v>
      </c>
      <c r="D13" s="13">
        <v>46041.546851851854</v>
      </c>
      <c r="E13" t="s">
        <v>17</v>
      </c>
      <c r="F13">
        <v>0.01</v>
      </c>
      <c r="G13">
        <v>0.01</v>
      </c>
      <c r="H13">
        <v>0.12</v>
      </c>
      <c r="I13">
        <v>0.12</v>
      </c>
      <c r="J13" t="s">
        <v>14</v>
      </c>
    </row>
    <row r="14" spans="1:10" x14ac:dyDescent="0.25">
      <c r="A14">
        <v>18194</v>
      </c>
      <c r="B14">
        <v>6.3071999999999999</v>
      </c>
      <c r="C14">
        <v>6.3085000000000004</v>
      </c>
      <c r="D14" s="13">
        <v>46042.543414351851</v>
      </c>
      <c r="E14" t="s">
        <v>17</v>
      </c>
      <c r="F14">
        <v>0.06</v>
      </c>
      <c r="G14">
        <v>0.06</v>
      </c>
      <c r="H14">
        <v>1.01</v>
      </c>
      <c r="I14">
        <v>1.01</v>
      </c>
      <c r="J14" t="s">
        <v>14</v>
      </c>
    </row>
    <row r="15" spans="1:10" x14ac:dyDescent="0.25">
      <c r="A15">
        <v>18195</v>
      </c>
      <c r="B15">
        <v>6.2439</v>
      </c>
      <c r="C15">
        <v>6.2450999999999999</v>
      </c>
      <c r="D15" s="13">
        <v>46043.54482638889</v>
      </c>
      <c r="E15" t="s">
        <v>17</v>
      </c>
      <c r="F15">
        <v>-0.06</v>
      </c>
      <c r="G15">
        <v>-0.06</v>
      </c>
      <c r="H15">
        <v>-1</v>
      </c>
      <c r="I15">
        <v>-1</v>
      </c>
      <c r="J15" t="s">
        <v>14</v>
      </c>
    </row>
    <row r="16" spans="1:10" x14ac:dyDescent="0.25">
      <c r="A16">
        <v>18196</v>
      </c>
      <c r="B16">
        <v>6.2321999999999997</v>
      </c>
      <c r="C16">
        <v>6.2333999999999996</v>
      </c>
      <c r="D16" s="13">
        <v>46044.5468287037</v>
      </c>
      <c r="E16" t="s">
        <v>17</v>
      </c>
      <c r="F16">
        <v>-0.01</v>
      </c>
      <c r="G16">
        <v>-0.01</v>
      </c>
      <c r="H16">
        <v>-0.19</v>
      </c>
      <c r="I16">
        <v>-0.19</v>
      </c>
      <c r="J16" t="s">
        <v>14</v>
      </c>
    </row>
    <row r="17" spans="1:10" x14ac:dyDescent="0.25">
      <c r="A17">
        <v>18197</v>
      </c>
      <c r="B17">
        <v>6.2161999999999997</v>
      </c>
      <c r="C17">
        <v>6.218</v>
      </c>
      <c r="D17" s="13">
        <v>46045.548217592594</v>
      </c>
      <c r="E17" t="s">
        <v>17</v>
      </c>
      <c r="F17">
        <v>-0.02</v>
      </c>
      <c r="G17">
        <v>-0.02</v>
      </c>
      <c r="H17">
        <v>-0.25</v>
      </c>
      <c r="I17">
        <v>-0.26</v>
      </c>
      <c r="J17" t="s">
        <v>14</v>
      </c>
    </row>
    <row r="18" spans="1:10" x14ac:dyDescent="0.25">
      <c r="A18">
        <v>18198</v>
      </c>
      <c r="B18">
        <v>6.2746000000000004</v>
      </c>
      <c r="C18">
        <v>6.2763</v>
      </c>
      <c r="D18" s="13">
        <v>46048.547951388886</v>
      </c>
      <c r="E18" t="s">
        <v>17</v>
      </c>
      <c r="F18">
        <v>0.06</v>
      </c>
      <c r="G18">
        <v>0.06</v>
      </c>
      <c r="H18">
        <v>0.94</v>
      </c>
      <c r="I18">
        <v>0.94</v>
      </c>
      <c r="J18" t="s">
        <v>14</v>
      </c>
    </row>
    <row r="19" spans="1:10" x14ac:dyDescent="0.25">
      <c r="A19">
        <v>18199</v>
      </c>
      <c r="B19">
        <v>6.2601000000000004</v>
      </c>
      <c r="C19">
        <v>6.2618999999999998</v>
      </c>
      <c r="D19" s="13">
        <v>46049.547523148147</v>
      </c>
      <c r="E19" t="s">
        <v>17</v>
      </c>
      <c r="F19">
        <v>-0.01</v>
      </c>
      <c r="G19">
        <v>-0.01</v>
      </c>
      <c r="H19">
        <v>-0.23</v>
      </c>
      <c r="I19">
        <v>-0.23</v>
      </c>
      <c r="J19" t="s">
        <v>14</v>
      </c>
    </row>
    <row r="20" spans="1:10" x14ac:dyDescent="0.25">
      <c r="A20">
        <v>18200</v>
      </c>
      <c r="B20">
        <v>6.1908000000000003</v>
      </c>
      <c r="C20">
        <v>6.1925999999999997</v>
      </c>
      <c r="D20" s="13">
        <v>46050.54892361111</v>
      </c>
      <c r="E20" t="s">
        <v>17</v>
      </c>
      <c r="F20">
        <v>-7.0000000000000007E-2</v>
      </c>
      <c r="G20">
        <v>-7.0000000000000007E-2</v>
      </c>
      <c r="H20">
        <v>-1.1100000000000001</v>
      </c>
      <c r="I20">
        <v>-1.1100000000000001</v>
      </c>
      <c r="J20" t="s">
        <v>14</v>
      </c>
    </row>
    <row r="21" spans="1:10" x14ac:dyDescent="0.25">
      <c r="A21">
        <v>18201</v>
      </c>
      <c r="B21">
        <v>6.1966000000000001</v>
      </c>
      <c r="C21">
        <v>6.1984000000000004</v>
      </c>
      <c r="D21" s="13">
        <v>46051.547488425924</v>
      </c>
      <c r="E21" t="s">
        <v>17</v>
      </c>
      <c r="F21">
        <v>0.01</v>
      </c>
      <c r="G21">
        <v>0.01</v>
      </c>
      <c r="H21">
        <v>0.09</v>
      </c>
      <c r="I21">
        <v>0.09</v>
      </c>
      <c r="J21" t="s">
        <v>14</v>
      </c>
    </row>
    <row r="22" spans="1:10" x14ac:dyDescent="0.25">
      <c r="A22">
        <v>18202</v>
      </c>
      <c r="B22">
        <v>6.22</v>
      </c>
      <c r="C22">
        <v>6.2217000000000002</v>
      </c>
      <c r="D22" s="13">
        <v>46052.545474537037</v>
      </c>
      <c r="E22" t="s">
        <v>17</v>
      </c>
      <c r="F22">
        <v>0.02</v>
      </c>
      <c r="G22">
        <v>0.02</v>
      </c>
      <c r="H22">
        <v>0.38</v>
      </c>
      <c r="I22">
        <v>0.38</v>
      </c>
      <c r="J22" t="s">
        <v>14</v>
      </c>
    </row>
    <row r="23" spans="1:10" x14ac:dyDescent="0.25">
      <c r="A23">
        <v>18203</v>
      </c>
      <c r="B23">
        <v>6.2004000000000001</v>
      </c>
      <c r="C23">
        <v>6.2016</v>
      </c>
      <c r="D23" s="13">
        <v>46055.546851851854</v>
      </c>
      <c r="E23" t="s">
        <v>18</v>
      </c>
      <c r="F23">
        <v>-0.02</v>
      </c>
      <c r="G23">
        <v>-0.02</v>
      </c>
      <c r="H23">
        <v>-0.32</v>
      </c>
      <c r="I23">
        <v>-0.32</v>
      </c>
      <c r="J23" t="s">
        <v>14</v>
      </c>
    </row>
    <row r="24" spans="1:10" x14ac:dyDescent="0.25">
      <c r="A24">
        <v>18204</v>
      </c>
      <c r="B24">
        <v>6.1694000000000004</v>
      </c>
      <c r="C24">
        <v>6.1711999999999998</v>
      </c>
      <c r="D24" s="13">
        <v>46056.549618055556</v>
      </c>
      <c r="E24" t="s">
        <v>18</v>
      </c>
      <c r="F24">
        <v>-0.03</v>
      </c>
      <c r="G24">
        <v>-0.03</v>
      </c>
      <c r="H24">
        <v>-0.49</v>
      </c>
      <c r="I24">
        <v>-0.5</v>
      </c>
      <c r="J24" t="s">
        <v>14</v>
      </c>
    </row>
    <row r="25" spans="1:10" x14ac:dyDescent="0.25">
      <c r="A25">
        <v>18205</v>
      </c>
      <c r="B25">
        <v>6.1749999999999998</v>
      </c>
      <c r="C25">
        <v>6.1768000000000001</v>
      </c>
      <c r="D25" s="13">
        <v>46057.548946759256</v>
      </c>
      <c r="E25" t="s">
        <v>18</v>
      </c>
      <c r="F25">
        <v>0.01</v>
      </c>
      <c r="G25">
        <v>0.01</v>
      </c>
      <c r="H25">
        <v>0.09</v>
      </c>
      <c r="I25">
        <v>0.09</v>
      </c>
      <c r="J25" t="s">
        <v>14</v>
      </c>
    </row>
    <row r="26" spans="1:10" x14ac:dyDescent="0.25">
      <c r="A26">
        <v>18206</v>
      </c>
      <c r="B26">
        <v>6.1985000000000001</v>
      </c>
      <c r="C26">
        <v>6.2001999999999997</v>
      </c>
      <c r="D26" s="13">
        <v>46058.545474537037</v>
      </c>
      <c r="E26" t="s">
        <v>18</v>
      </c>
      <c r="F26">
        <v>0.02</v>
      </c>
      <c r="G26">
        <v>0.02</v>
      </c>
      <c r="H26">
        <v>0.38</v>
      </c>
      <c r="I26">
        <v>0.38</v>
      </c>
      <c r="J26" t="s">
        <v>14</v>
      </c>
    </row>
    <row r="27" spans="1:10" x14ac:dyDescent="0.25">
      <c r="A27">
        <v>18207</v>
      </c>
      <c r="B27">
        <v>6.1855000000000002</v>
      </c>
      <c r="C27">
        <v>6.1867000000000001</v>
      </c>
      <c r="D27" s="13">
        <v>46059.54892361111</v>
      </c>
      <c r="E27" t="s">
        <v>18</v>
      </c>
      <c r="F27">
        <v>-0.01</v>
      </c>
      <c r="G27">
        <v>-0.01</v>
      </c>
      <c r="H27">
        <v>-0.22</v>
      </c>
      <c r="I27">
        <v>-0.21</v>
      </c>
      <c r="J27" t="s">
        <v>14</v>
      </c>
    </row>
    <row r="28" spans="1:10" x14ac:dyDescent="0.25">
      <c r="A28">
        <v>18208</v>
      </c>
      <c r="B28">
        <v>6.1867000000000001</v>
      </c>
      <c r="C28">
        <v>6.1879999999999997</v>
      </c>
      <c r="D28" s="13">
        <v>46062.548229166663</v>
      </c>
      <c r="E28" t="s">
        <v>18</v>
      </c>
      <c r="F28">
        <v>0</v>
      </c>
      <c r="G28">
        <v>0</v>
      </c>
      <c r="H28">
        <v>0.02</v>
      </c>
      <c r="I28">
        <v>0.02</v>
      </c>
      <c r="J28" t="s">
        <v>14</v>
      </c>
    </row>
    <row r="29" spans="1:10" x14ac:dyDescent="0.25">
      <c r="A29">
        <v>18209</v>
      </c>
      <c r="B29">
        <v>6.1965000000000003</v>
      </c>
      <c r="C29">
        <v>6.1982999999999997</v>
      </c>
      <c r="D29" s="13">
        <v>46063.54892361111</v>
      </c>
      <c r="E29" t="s">
        <v>18</v>
      </c>
      <c r="F29">
        <v>0.01</v>
      </c>
      <c r="G29">
        <v>0.01</v>
      </c>
      <c r="H29">
        <v>0.17</v>
      </c>
      <c r="I29">
        <v>0.16</v>
      </c>
      <c r="J29" t="s">
        <v>14</v>
      </c>
    </row>
    <row r="30" spans="1:10" x14ac:dyDescent="0.25">
      <c r="A30">
        <v>18210</v>
      </c>
      <c r="B30">
        <v>6.1459999999999999</v>
      </c>
      <c r="C30">
        <v>6.1477000000000004</v>
      </c>
      <c r="D30" s="13">
        <v>46064.544074074074</v>
      </c>
      <c r="E30" t="s">
        <v>18</v>
      </c>
      <c r="F30">
        <v>-0.05</v>
      </c>
      <c r="G30">
        <v>-0.05</v>
      </c>
      <c r="H30">
        <v>-0.82</v>
      </c>
      <c r="I30">
        <v>-0.81</v>
      </c>
      <c r="J30" t="s">
        <v>14</v>
      </c>
    </row>
    <row r="31" spans="1:10" x14ac:dyDescent="0.25">
      <c r="A31">
        <v>18211</v>
      </c>
      <c r="B31">
        <v>6.1406999999999998</v>
      </c>
      <c r="C31">
        <v>6.1425000000000001</v>
      </c>
      <c r="D31" s="13">
        <v>46065.54488425926</v>
      </c>
      <c r="E31" t="s">
        <v>18</v>
      </c>
      <c r="F31">
        <v>-0.01</v>
      </c>
      <c r="G31">
        <v>-0.01</v>
      </c>
      <c r="H31">
        <v>-0.08</v>
      </c>
      <c r="I31">
        <v>-0.09</v>
      </c>
      <c r="J31" t="s">
        <v>14</v>
      </c>
    </row>
    <row r="32" spans="1:10" x14ac:dyDescent="0.25">
      <c r="A32">
        <v>18212</v>
      </c>
      <c r="B32">
        <v>6.1943999999999999</v>
      </c>
      <c r="C32">
        <v>6.1955999999999998</v>
      </c>
      <c r="D32" s="13">
        <v>46066.544768518521</v>
      </c>
      <c r="E32" t="s">
        <v>18</v>
      </c>
      <c r="F32">
        <v>0.05</v>
      </c>
      <c r="G32">
        <v>0.05</v>
      </c>
      <c r="H32">
        <v>0.86</v>
      </c>
      <c r="I32">
        <v>0.87</v>
      </c>
      <c r="J32" t="s">
        <v>14</v>
      </c>
    </row>
    <row r="33" spans="1:10" x14ac:dyDescent="0.25">
      <c r="A33">
        <v>18213</v>
      </c>
      <c r="B33">
        <v>6.1733000000000002</v>
      </c>
      <c r="C33">
        <v>6.1745999999999999</v>
      </c>
      <c r="D33" s="13">
        <v>46071.653113425928</v>
      </c>
      <c r="E33" t="s">
        <v>18</v>
      </c>
      <c r="F33">
        <v>-0.02</v>
      </c>
      <c r="G33">
        <v>-0.02</v>
      </c>
      <c r="H33">
        <v>-0.34</v>
      </c>
      <c r="I33">
        <v>-0.34</v>
      </c>
      <c r="J33" t="s">
        <v>14</v>
      </c>
    </row>
    <row r="34" spans="1:10" x14ac:dyDescent="0.25">
      <c r="A34">
        <v>18214</v>
      </c>
      <c r="B34">
        <v>6.1456</v>
      </c>
      <c r="C34">
        <v>6.1475</v>
      </c>
      <c r="D34" s="13">
        <v>46072.549618055556</v>
      </c>
      <c r="E34" t="s">
        <v>18</v>
      </c>
      <c r="F34">
        <v>-0.03</v>
      </c>
      <c r="G34">
        <v>-0.03</v>
      </c>
      <c r="H34">
        <v>-0.44</v>
      </c>
      <c r="I34">
        <v>-0.45</v>
      </c>
      <c r="J34" t="s">
        <v>14</v>
      </c>
    </row>
    <row r="35" spans="1:10" x14ac:dyDescent="0.25">
      <c r="A35">
        <v>18215</v>
      </c>
      <c r="B35">
        <v>6.1292</v>
      </c>
      <c r="C35">
        <v>6.1310000000000002</v>
      </c>
      <c r="D35" s="13">
        <v>46073.543356481481</v>
      </c>
      <c r="E35" t="s">
        <v>18</v>
      </c>
      <c r="F35">
        <v>-0.02</v>
      </c>
      <c r="G35">
        <v>-0.02</v>
      </c>
      <c r="H35">
        <v>-0.27</v>
      </c>
      <c r="I35">
        <v>-0.27</v>
      </c>
      <c r="J35" t="s">
        <v>14</v>
      </c>
    </row>
    <row r="36" spans="1:10" x14ac:dyDescent="0.25">
      <c r="A36">
        <v>18216</v>
      </c>
      <c r="B36">
        <v>6.0891000000000002</v>
      </c>
      <c r="C36">
        <v>6.0903</v>
      </c>
      <c r="D36" s="13">
        <v>46076.543379629627</v>
      </c>
      <c r="E36" t="s">
        <v>18</v>
      </c>
      <c r="F36">
        <v>-0.04</v>
      </c>
      <c r="G36">
        <v>-0.04</v>
      </c>
      <c r="H36">
        <v>-0.66</v>
      </c>
      <c r="I36">
        <v>-0.65</v>
      </c>
      <c r="J36" t="s">
        <v>14</v>
      </c>
    </row>
    <row r="37" spans="1:10" x14ac:dyDescent="0.25">
      <c r="A37">
        <v>18217</v>
      </c>
      <c r="B37">
        <v>6.0827999999999998</v>
      </c>
      <c r="C37">
        <v>6.0845000000000002</v>
      </c>
      <c r="D37" s="13">
        <v>46077.54478009259</v>
      </c>
      <c r="E37" t="s">
        <v>18</v>
      </c>
      <c r="F37">
        <v>-0.01</v>
      </c>
      <c r="G37">
        <v>-0.01</v>
      </c>
      <c r="H37">
        <v>-0.1</v>
      </c>
      <c r="I37">
        <v>-0.1</v>
      </c>
      <c r="J37" t="s">
        <v>14</v>
      </c>
    </row>
    <row r="38" spans="1:10" x14ac:dyDescent="0.25">
      <c r="A38">
        <v>18218</v>
      </c>
      <c r="B38">
        <v>6.0697000000000001</v>
      </c>
      <c r="C38">
        <v>6.0709</v>
      </c>
      <c r="D38" s="13">
        <v>46078.54546296296</v>
      </c>
      <c r="E38" t="s">
        <v>18</v>
      </c>
      <c r="F38">
        <v>-0.01</v>
      </c>
      <c r="G38">
        <v>-0.01</v>
      </c>
      <c r="H38">
        <v>-0.22</v>
      </c>
      <c r="I38">
        <v>-0.22</v>
      </c>
      <c r="J38" t="s">
        <v>14</v>
      </c>
    </row>
    <row r="39" spans="1:10" x14ac:dyDescent="0.25">
      <c r="A39">
        <v>18219</v>
      </c>
      <c r="B39">
        <v>6.0613000000000001</v>
      </c>
      <c r="C39">
        <v>6.0631000000000004</v>
      </c>
      <c r="D39" s="13">
        <v>46079.546215277776</v>
      </c>
      <c r="E39" t="s">
        <v>18</v>
      </c>
      <c r="F39">
        <v>-0.01</v>
      </c>
      <c r="G39">
        <v>-0.01</v>
      </c>
      <c r="H39">
        <v>-0.13</v>
      </c>
      <c r="I39">
        <v>-0.14000000000000001</v>
      </c>
      <c r="J39" t="s">
        <v>14</v>
      </c>
    </row>
    <row r="40" spans="1:10" x14ac:dyDescent="0.25">
      <c r="A40">
        <v>18220</v>
      </c>
      <c r="B40">
        <v>6.0762</v>
      </c>
      <c r="C40">
        <v>6.0795000000000003</v>
      </c>
      <c r="D40" s="13">
        <v>46080.543368055558</v>
      </c>
      <c r="E40" t="s">
        <v>18</v>
      </c>
      <c r="F40">
        <v>0.02</v>
      </c>
      <c r="G40">
        <v>0.01</v>
      </c>
      <c r="H40">
        <v>0.27</v>
      </c>
      <c r="I40">
        <v>0.25</v>
      </c>
      <c r="J40" t="s">
        <v>14</v>
      </c>
    </row>
    <row r="41" spans="1:10" x14ac:dyDescent="0.25">
      <c r="A41">
        <v>18221</v>
      </c>
      <c r="B41">
        <v>6.0724999999999998</v>
      </c>
      <c r="C41">
        <v>6.0742000000000003</v>
      </c>
      <c r="D41" s="13">
        <v>46083.548217592594</v>
      </c>
      <c r="E41" t="s">
        <v>19</v>
      </c>
      <c r="F41">
        <v>-0.01</v>
      </c>
      <c r="G41">
        <v>0</v>
      </c>
      <c r="H41">
        <v>-0.09</v>
      </c>
      <c r="I41">
        <v>-0.06</v>
      </c>
      <c r="J41" t="s">
        <v>14</v>
      </c>
    </row>
    <row r="42" spans="1:10" x14ac:dyDescent="0.25">
      <c r="A42">
        <v>18222</v>
      </c>
      <c r="B42">
        <v>6.1180000000000003</v>
      </c>
      <c r="C42">
        <v>6.1196999999999999</v>
      </c>
      <c r="D42" s="13">
        <v>46084.548935185187</v>
      </c>
      <c r="E42" t="s">
        <v>19</v>
      </c>
      <c r="F42">
        <v>0.05</v>
      </c>
      <c r="G42">
        <v>0.05</v>
      </c>
      <c r="H42">
        <v>0.75</v>
      </c>
      <c r="I42">
        <v>0.75</v>
      </c>
      <c r="J42" t="s">
        <v>14</v>
      </c>
    </row>
    <row r="43" spans="1:10" x14ac:dyDescent="0.25">
      <c r="A43">
        <v>18223</v>
      </c>
      <c r="B43">
        <v>6.0621999999999998</v>
      </c>
      <c r="C43">
        <v>6.0639000000000003</v>
      </c>
      <c r="D43" s="13">
        <v>46085.546840277777</v>
      </c>
      <c r="E43" t="s">
        <v>19</v>
      </c>
      <c r="F43">
        <v>-0.06</v>
      </c>
      <c r="G43">
        <v>-0.06</v>
      </c>
      <c r="H43">
        <v>-0.91</v>
      </c>
      <c r="I43">
        <v>-0.91</v>
      </c>
      <c r="J43" t="s">
        <v>14</v>
      </c>
    </row>
    <row r="44" spans="1:10" x14ac:dyDescent="0.25">
      <c r="A44">
        <v>18224</v>
      </c>
      <c r="B44">
        <v>6.0736999999999997</v>
      </c>
      <c r="C44">
        <v>6.0749000000000004</v>
      </c>
      <c r="D44" s="13">
        <v>46086.54409722222</v>
      </c>
      <c r="E44" t="s">
        <v>19</v>
      </c>
      <c r="F44">
        <v>0.01</v>
      </c>
      <c r="G44">
        <v>0.01</v>
      </c>
      <c r="H44">
        <v>0.18</v>
      </c>
      <c r="I44">
        <v>0.19</v>
      </c>
      <c r="J44" t="s">
        <v>14</v>
      </c>
    </row>
    <row r="45" spans="1:10" x14ac:dyDescent="0.25">
      <c r="A45">
        <v>18225</v>
      </c>
      <c r="B45">
        <v>6.1219999999999999</v>
      </c>
      <c r="C45">
        <v>6.1238000000000001</v>
      </c>
      <c r="D45" s="13">
        <v>46087.548935185187</v>
      </c>
      <c r="E45" t="s">
        <v>19</v>
      </c>
      <c r="F45">
        <v>0.05</v>
      </c>
      <c r="G45">
        <v>0.05</v>
      </c>
      <c r="H45">
        <v>0.8</v>
      </c>
      <c r="I45">
        <v>0.8</v>
      </c>
      <c r="J45" t="s">
        <v>14</v>
      </c>
    </row>
    <row r="46" spans="1:10" x14ac:dyDescent="0.25">
      <c r="A46">
        <v>18226</v>
      </c>
      <c r="B46">
        <v>6.0433000000000003</v>
      </c>
      <c r="C46">
        <v>6.0445000000000002</v>
      </c>
      <c r="D46" s="13">
        <v>46090.548935185187</v>
      </c>
      <c r="E46" t="s">
        <v>19</v>
      </c>
      <c r="F46">
        <v>-0.08</v>
      </c>
      <c r="G46">
        <v>-0.08</v>
      </c>
      <c r="H46">
        <v>-1.29</v>
      </c>
      <c r="I46">
        <v>-1.29</v>
      </c>
      <c r="J46" t="s">
        <v>14</v>
      </c>
    </row>
    <row r="47" spans="1:10" x14ac:dyDescent="0.25">
      <c r="A47">
        <v>18227</v>
      </c>
      <c r="B47">
        <v>6.0111999999999997</v>
      </c>
      <c r="C47">
        <v>6.0129000000000001</v>
      </c>
      <c r="D47" s="13">
        <v>46091.548217592594</v>
      </c>
      <c r="E47" t="s">
        <v>19</v>
      </c>
      <c r="F47">
        <v>-0.03</v>
      </c>
      <c r="G47">
        <v>-0.03</v>
      </c>
      <c r="H47">
        <v>-0.52</v>
      </c>
      <c r="I47">
        <v>-0.53</v>
      </c>
      <c r="J47" t="s">
        <v>14</v>
      </c>
    </row>
    <row r="48" spans="1:10" x14ac:dyDescent="0.25">
      <c r="A48">
        <v>18228</v>
      </c>
      <c r="B48">
        <v>5.9668999999999999</v>
      </c>
      <c r="C48">
        <v>5.9680999999999997</v>
      </c>
      <c r="D48" s="13">
        <v>46092.544745370367</v>
      </c>
      <c r="E48" t="s">
        <v>19</v>
      </c>
      <c r="F48">
        <v>-0.04</v>
      </c>
      <c r="G48">
        <v>-0.04</v>
      </c>
      <c r="H48">
        <v>-0.75</v>
      </c>
      <c r="I48">
        <v>-0.74</v>
      </c>
      <c r="J48" t="s">
        <v>14</v>
      </c>
    </row>
    <row r="49" spans="1:10" x14ac:dyDescent="0.25">
      <c r="A49">
        <v>18229</v>
      </c>
      <c r="B49">
        <v>5.9961000000000002</v>
      </c>
      <c r="C49">
        <v>5.9977999999999998</v>
      </c>
      <c r="D49" s="13">
        <v>46093.548946759256</v>
      </c>
      <c r="E49" t="s">
        <v>19</v>
      </c>
      <c r="F49">
        <v>0.03</v>
      </c>
      <c r="G49">
        <v>0.03</v>
      </c>
      <c r="H49">
        <v>0.5</v>
      </c>
      <c r="I49">
        <v>0.49</v>
      </c>
      <c r="J49" t="s">
        <v>14</v>
      </c>
    </row>
    <row r="50" spans="1:10" x14ac:dyDescent="0.25">
      <c r="A50">
        <v>18230</v>
      </c>
      <c r="B50">
        <v>6.0115999999999996</v>
      </c>
      <c r="C50">
        <v>6.0128000000000004</v>
      </c>
      <c r="D50" s="13">
        <v>46094.544085648151</v>
      </c>
      <c r="E50" t="s">
        <v>19</v>
      </c>
      <c r="F50">
        <v>0.02</v>
      </c>
      <c r="G50">
        <v>0.02</v>
      </c>
      <c r="H50">
        <v>0.25</v>
      </c>
      <c r="I50">
        <v>0.26</v>
      </c>
      <c r="J50" t="s">
        <v>14</v>
      </c>
    </row>
    <row r="51" spans="1:10" x14ac:dyDescent="0.25">
      <c r="A51">
        <v>18231</v>
      </c>
      <c r="B51">
        <v>6.0457999999999998</v>
      </c>
      <c r="C51">
        <v>6.0476000000000001</v>
      </c>
      <c r="D51" s="13">
        <v>46097.547511574077</v>
      </c>
      <c r="E51" t="s">
        <v>19</v>
      </c>
      <c r="F51">
        <v>0.03</v>
      </c>
      <c r="G51">
        <v>0.03</v>
      </c>
      <c r="H51">
        <v>0.57999999999999996</v>
      </c>
      <c r="I51">
        <v>0.56999999999999995</v>
      </c>
      <c r="J51" t="s">
        <v>14</v>
      </c>
    </row>
    <row r="52" spans="1:10" x14ac:dyDescent="0.25">
      <c r="A52">
        <v>18232</v>
      </c>
      <c r="B52">
        <v>5.9943</v>
      </c>
      <c r="C52">
        <v>5.9961000000000002</v>
      </c>
      <c r="D52" s="13">
        <v>46098.548298611109</v>
      </c>
      <c r="E52" t="s">
        <v>19</v>
      </c>
      <c r="F52">
        <v>-0.05</v>
      </c>
      <c r="G52">
        <v>-0.05</v>
      </c>
      <c r="H52">
        <v>-0.85</v>
      </c>
      <c r="I52">
        <v>-0.85</v>
      </c>
      <c r="J52" t="s">
        <v>14</v>
      </c>
    </row>
    <row r="53" spans="1:10" x14ac:dyDescent="0.25">
      <c r="A53">
        <v>18233</v>
      </c>
      <c r="B53">
        <v>5.9984000000000002</v>
      </c>
      <c r="C53">
        <v>6.0002000000000004</v>
      </c>
      <c r="D53" s="13">
        <v>46099.54760416667</v>
      </c>
      <c r="E53" t="s">
        <v>19</v>
      </c>
      <c r="F53">
        <v>0</v>
      </c>
      <c r="G53">
        <v>0</v>
      </c>
      <c r="H53">
        <v>7.0000000000000007E-2</v>
      </c>
      <c r="I53">
        <v>7.0000000000000007E-2</v>
      </c>
      <c r="J53" t="s">
        <v>14</v>
      </c>
    </row>
    <row r="54" spans="1:10" x14ac:dyDescent="0.25">
      <c r="A54">
        <v>18234</v>
      </c>
      <c r="B54">
        <v>6.0537000000000001</v>
      </c>
      <c r="C54">
        <v>6.0553999999999997</v>
      </c>
      <c r="D54" s="13">
        <v>46100.543368055558</v>
      </c>
      <c r="E54" t="s">
        <v>19</v>
      </c>
      <c r="F54">
        <v>0.06</v>
      </c>
      <c r="G54">
        <v>0.06</v>
      </c>
      <c r="H54">
        <v>0.92</v>
      </c>
      <c r="I54">
        <v>0.92</v>
      </c>
      <c r="J54" t="s">
        <v>14</v>
      </c>
    </row>
    <row r="55" spans="1:10" x14ac:dyDescent="0.25">
      <c r="A55">
        <v>18235</v>
      </c>
      <c r="B55">
        <v>6.0933999999999999</v>
      </c>
      <c r="C55">
        <v>6.0952000000000002</v>
      </c>
      <c r="D55" s="13">
        <v>46101.549629629626</v>
      </c>
      <c r="E55" t="s">
        <v>19</v>
      </c>
      <c r="F55">
        <v>0.04</v>
      </c>
      <c r="G55">
        <v>0.04</v>
      </c>
      <c r="H55">
        <v>0.66</v>
      </c>
      <c r="I55">
        <v>0.66</v>
      </c>
      <c r="J55" t="s">
        <v>14</v>
      </c>
    </row>
    <row r="56" spans="1:10" x14ac:dyDescent="0.25">
      <c r="A56">
        <v>18236</v>
      </c>
      <c r="B56">
        <v>6.0734000000000004</v>
      </c>
      <c r="C56">
        <v>6.0757000000000003</v>
      </c>
      <c r="D56" s="13">
        <v>46104.549629629626</v>
      </c>
      <c r="E56" t="s">
        <v>19</v>
      </c>
      <c r="F56">
        <v>-0.02</v>
      </c>
      <c r="G56">
        <v>-0.02</v>
      </c>
      <c r="H56">
        <v>-0.32</v>
      </c>
      <c r="I56">
        <v>-0.33</v>
      </c>
      <c r="J56" t="s">
        <v>14</v>
      </c>
    </row>
    <row r="57" spans="1:10" x14ac:dyDescent="0.25">
      <c r="A57">
        <v>18237</v>
      </c>
      <c r="B57">
        <v>6.0887000000000002</v>
      </c>
      <c r="C57">
        <v>6.0903999999999998</v>
      </c>
      <c r="D57" s="13">
        <v>46105.548252314817</v>
      </c>
      <c r="E57" t="s">
        <v>19</v>
      </c>
      <c r="F57">
        <v>0.01</v>
      </c>
      <c r="G57">
        <v>0.02</v>
      </c>
      <c r="H57">
        <v>0.24</v>
      </c>
      <c r="I57">
        <v>0.25</v>
      </c>
      <c r="J57" t="s">
        <v>14</v>
      </c>
    </row>
    <row r="58" spans="1:10" x14ac:dyDescent="0.25">
      <c r="A58">
        <v>18238</v>
      </c>
      <c r="B58">
        <v>6.0469999999999997</v>
      </c>
      <c r="C58">
        <v>6.0481999999999996</v>
      </c>
      <c r="D58" s="13">
        <v>46106.547615740739</v>
      </c>
      <c r="E58" t="s">
        <v>19</v>
      </c>
      <c r="F58">
        <v>-0.04</v>
      </c>
      <c r="G58">
        <v>-0.04</v>
      </c>
      <c r="H58">
        <v>-0.69</v>
      </c>
      <c r="I58">
        <v>-0.68</v>
      </c>
      <c r="J58" t="s">
        <v>14</v>
      </c>
    </row>
    <row r="59" spans="1:10" x14ac:dyDescent="0.25">
      <c r="A59">
        <v>18239</v>
      </c>
      <c r="B59">
        <v>6.0362</v>
      </c>
      <c r="C59">
        <v>6.0373999999999999</v>
      </c>
      <c r="D59" s="13">
        <v>46107.549409722225</v>
      </c>
      <c r="E59" t="s">
        <v>19</v>
      </c>
      <c r="F59">
        <v>-0.01</v>
      </c>
      <c r="G59">
        <v>-0.01</v>
      </c>
      <c r="H59">
        <v>-0.18</v>
      </c>
      <c r="I59">
        <v>-0.18</v>
      </c>
      <c r="J59" t="s">
        <v>14</v>
      </c>
    </row>
    <row r="60" spans="1:10" x14ac:dyDescent="0.25">
      <c r="A60">
        <v>18240</v>
      </c>
      <c r="B60">
        <v>6.0324999999999998</v>
      </c>
      <c r="C60">
        <v>6.0336999999999996</v>
      </c>
      <c r="D60" s="13">
        <v>46108.549791666665</v>
      </c>
      <c r="E60" t="s">
        <v>19</v>
      </c>
      <c r="F60">
        <v>0</v>
      </c>
      <c r="G60">
        <v>0</v>
      </c>
      <c r="H60">
        <v>-0.06</v>
      </c>
      <c r="I60">
        <v>-0.06</v>
      </c>
      <c r="J60" t="s">
        <v>14</v>
      </c>
    </row>
    <row r="61" spans="1:10" x14ac:dyDescent="0.25">
      <c r="A61">
        <v>18241</v>
      </c>
      <c r="B61">
        <v>5.9958</v>
      </c>
      <c r="C61">
        <v>5.9969999999999999</v>
      </c>
      <c r="D61" s="13">
        <v>46111.548935185187</v>
      </c>
      <c r="E61" t="s">
        <v>19</v>
      </c>
      <c r="F61">
        <v>-0.04</v>
      </c>
      <c r="G61">
        <v>-0.04</v>
      </c>
      <c r="H61">
        <v>-0.61</v>
      </c>
      <c r="I61">
        <v>-0.61</v>
      </c>
      <c r="J61" t="s">
        <v>14</v>
      </c>
    </row>
    <row r="62" spans="1:10" x14ac:dyDescent="0.25">
      <c r="A62">
        <v>18242</v>
      </c>
      <c r="B62">
        <v>6.01</v>
      </c>
      <c r="C62">
        <v>6.0117000000000003</v>
      </c>
      <c r="D62" s="13">
        <v>46112.544710648152</v>
      </c>
      <c r="E62" t="s">
        <v>19</v>
      </c>
      <c r="F62">
        <v>0.01</v>
      </c>
      <c r="G62">
        <v>0.01</v>
      </c>
      <c r="H62">
        <v>0.25</v>
      </c>
      <c r="I62">
        <v>0.24</v>
      </c>
      <c r="J62" t="s">
        <v>14</v>
      </c>
    </row>
    <row r="63" spans="1:10" x14ac:dyDescent="0.25">
      <c r="A63">
        <v>18243</v>
      </c>
      <c r="B63">
        <v>5.9923000000000002</v>
      </c>
      <c r="C63">
        <v>5.9935</v>
      </c>
      <c r="D63" s="13">
        <v>46113.546157407407</v>
      </c>
      <c r="E63" t="s">
        <v>20</v>
      </c>
      <c r="F63">
        <v>-0.02</v>
      </c>
      <c r="G63">
        <v>-0.02</v>
      </c>
      <c r="H63">
        <v>-0.3</v>
      </c>
      <c r="I63">
        <v>-0.28999999999999998</v>
      </c>
      <c r="J63" t="s">
        <v>14</v>
      </c>
    </row>
    <row r="64" spans="1:10" x14ac:dyDescent="0.25">
      <c r="A64">
        <v>18244</v>
      </c>
      <c r="B64">
        <v>5.9629000000000003</v>
      </c>
      <c r="C64">
        <v>5.9641000000000002</v>
      </c>
      <c r="D64" s="13">
        <v>46114.54892361111</v>
      </c>
      <c r="E64" t="s">
        <v>20</v>
      </c>
      <c r="F64">
        <v>-0.03</v>
      </c>
      <c r="G64">
        <v>-0.03</v>
      </c>
      <c r="H64">
        <v>-0.49</v>
      </c>
      <c r="I64">
        <v>-0.49</v>
      </c>
      <c r="J64" t="s">
        <v>14</v>
      </c>
    </row>
    <row r="65" spans="1:10" x14ac:dyDescent="0.25">
      <c r="A65">
        <v>18245</v>
      </c>
      <c r="B65">
        <v>5.9476000000000004</v>
      </c>
      <c r="C65">
        <v>5.9499000000000004</v>
      </c>
      <c r="D65" s="13">
        <v>46118.546122685184</v>
      </c>
      <c r="E65" t="s">
        <v>20</v>
      </c>
      <c r="F65">
        <v>-0.01</v>
      </c>
      <c r="G65">
        <v>-0.02</v>
      </c>
      <c r="H65">
        <v>-0.24</v>
      </c>
      <c r="I65">
        <v>-0.26</v>
      </c>
      <c r="J65" t="s">
        <v>14</v>
      </c>
    </row>
    <row r="66" spans="1:10" x14ac:dyDescent="0.25">
      <c r="A66">
        <v>18246</v>
      </c>
      <c r="B66">
        <v>5.9728000000000003</v>
      </c>
      <c r="C66">
        <v>5.9740000000000002</v>
      </c>
      <c r="D66" s="13">
        <v>46119.547523148147</v>
      </c>
      <c r="E66" t="s">
        <v>20</v>
      </c>
      <c r="F66">
        <v>0.02</v>
      </c>
      <c r="G66">
        <v>0.03</v>
      </c>
      <c r="H66">
        <v>0.41</v>
      </c>
      <c r="I66">
        <v>0.42</v>
      </c>
      <c r="J66" t="s">
        <v>14</v>
      </c>
    </row>
    <row r="67" spans="1:10" x14ac:dyDescent="0.25">
      <c r="A67">
        <v>18247</v>
      </c>
      <c r="B67">
        <v>5.9467999999999996</v>
      </c>
      <c r="C67">
        <v>5.9485999999999999</v>
      </c>
      <c r="D67" s="13">
        <v>46120.543391203704</v>
      </c>
      <c r="E67" t="s">
        <v>20</v>
      </c>
      <c r="F67">
        <v>-0.03</v>
      </c>
      <c r="G67">
        <v>-0.03</v>
      </c>
      <c r="H67">
        <v>-0.43</v>
      </c>
      <c r="I67">
        <v>-0.44</v>
      </c>
      <c r="J67" t="s">
        <v>14</v>
      </c>
    </row>
    <row r="68" spans="1:10" x14ac:dyDescent="0.25">
      <c r="A68">
        <v>18248</v>
      </c>
      <c r="B68">
        <v>5.9478999999999997</v>
      </c>
      <c r="C68">
        <v>5.9490999999999996</v>
      </c>
      <c r="D68" s="13">
        <v>46121.548958333333</v>
      </c>
      <c r="E68" t="s">
        <v>20</v>
      </c>
      <c r="F68">
        <v>0</v>
      </c>
      <c r="G68">
        <v>0</v>
      </c>
      <c r="H68">
        <v>0.01</v>
      </c>
      <c r="I68">
        <v>0.02</v>
      </c>
      <c r="J68" t="s">
        <v>14</v>
      </c>
    </row>
    <row r="69" spans="1:10" x14ac:dyDescent="0.25">
      <c r="A69">
        <v>18249</v>
      </c>
      <c r="B69">
        <v>5.8865999999999996</v>
      </c>
      <c r="C69">
        <v>5.8883000000000001</v>
      </c>
      <c r="D69" s="13">
        <v>46122.544733796298</v>
      </c>
      <c r="E69" t="s">
        <v>20</v>
      </c>
      <c r="F69">
        <v>-0.06</v>
      </c>
      <c r="G69">
        <v>-0.06</v>
      </c>
      <c r="H69">
        <v>-1.02</v>
      </c>
      <c r="I69">
        <v>-1.03</v>
      </c>
      <c r="J69" t="s">
        <v>14</v>
      </c>
    </row>
    <row r="70" spans="1:10" x14ac:dyDescent="0.25">
      <c r="A70">
        <v>18250</v>
      </c>
      <c r="B70">
        <v>5.8823999999999996</v>
      </c>
      <c r="C70">
        <v>5.8841000000000001</v>
      </c>
      <c r="D70" s="13">
        <v>46125.545069444444</v>
      </c>
      <c r="E70" t="s">
        <v>20</v>
      </c>
      <c r="F70">
        <v>0</v>
      </c>
      <c r="G70">
        <v>0</v>
      </c>
      <c r="H70">
        <v>-7.0000000000000007E-2</v>
      </c>
      <c r="I70">
        <v>-7.0000000000000007E-2</v>
      </c>
      <c r="J70" t="s">
        <v>14</v>
      </c>
    </row>
    <row r="71" spans="1:10" x14ac:dyDescent="0.25">
      <c r="A71">
        <v>18251</v>
      </c>
      <c r="B71">
        <v>5.8708999999999998</v>
      </c>
      <c r="C71">
        <v>5.8726000000000003</v>
      </c>
      <c r="D71" s="13">
        <v>46126.544062499997</v>
      </c>
      <c r="E71" t="s">
        <v>20</v>
      </c>
      <c r="F71">
        <v>-0.01</v>
      </c>
      <c r="G71">
        <v>-0.01</v>
      </c>
      <c r="H71">
        <v>-0.2</v>
      </c>
      <c r="I71">
        <v>-0.2</v>
      </c>
      <c r="J71" t="s">
        <v>14</v>
      </c>
    </row>
    <row r="72" spans="1:10" x14ac:dyDescent="0.25">
      <c r="A72">
        <v>18252</v>
      </c>
      <c r="B72">
        <v>5.8898000000000001</v>
      </c>
      <c r="C72">
        <v>5.891</v>
      </c>
      <c r="D72" s="13">
        <v>46127.546134259261</v>
      </c>
      <c r="E72" t="s">
        <v>20</v>
      </c>
      <c r="F72">
        <v>0.02</v>
      </c>
      <c r="G72">
        <v>0.02</v>
      </c>
      <c r="H72">
        <v>0.31</v>
      </c>
      <c r="I72">
        <v>0.32</v>
      </c>
      <c r="J72" t="s">
        <v>14</v>
      </c>
    </row>
    <row r="73" spans="1:10" x14ac:dyDescent="0.25">
      <c r="A73">
        <v>18253</v>
      </c>
      <c r="B73">
        <v>5.8906000000000001</v>
      </c>
      <c r="C73">
        <v>5.8922999999999996</v>
      </c>
      <c r="D73" s="13">
        <v>46128.544085648151</v>
      </c>
      <c r="E73" t="s">
        <v>20</v>
      </c>
      <c r="F73">
        <v>0</v>
      </c>
      <c r="G73">
        <v>0</v>
      </c>
      <c r="H73">
        <v>0.02</v>
      </c>
      <c r="I73">
        <v>0.01</v>
      </c>
      <c r="J73" t="s">
        <v>14</v>
      </c>
    </row>
    <row r="74" spans="1:10" x14ac:dyDescent="0.25">
      <c r="A74">
        <v>18254</v>
      </c>
      <c r="B74">
        <v>5.8632999999999997</v>
      </c>
      <c r="C74">
        <v>5.8644999999999996</v>
      </c>
      <c r="D74" s="13">
        <v>46129.548229166663</v>
      </c>
      <c r="E74" t="s">
        <v>20</v>
      </c>
      <c r="F74">
        <v>-0.03</v>
      </c>
      <c r="G74">
        <v>-0.03</v>
      </c>
      <c r="H74">
        <v>-0.47</v>
      </c>
      <c r="I74">
        <v>-0.46</v>
      </c>
      <c r="J74" t="s">
        <v>14</v>
      </c>
    </row>
    <row r="75" spans="1:10" x14ac:dyDescent="0.25">
      <c r="A75">
        <v>18255</v>
      </c>
      <c r="B75">
        <v>5.8728999999999996</v>
      </c>
      <c r="C75">
        <v>5.8741000000000003</v>
      </c>
      <c r="D75" s="13">
        <v>46132.543356481481</v>
      </c>
      <c r="E75" t="s">
        <v>20</v>
      </c>
      <c r="F75">
        <v>0.01</v>
      </c>
      <c r="G75">
        <v>0.01</v>
      </c>
      <c r="H75">
        <v>0.16</v>
      </c>
      <c r="I75">
        <v>0.16</v>
      </c>
      <c r="J75" t="s">
        <v>14</v>
      </c>
    </row>
    <row r="76" spans="1:10" x14ac:dyDescent="0.25">
      <c r="A76">
        <v>18256</v>
      </c>
      <c r="B76">
        <v>5.8151999999999999</v>
      </c>
      <c r="C76">
        <v>5.8163999999999998</v>
      </c>
      <c r="D76" s="13">
        <v>46134.549629629626</v>
      </c>
      <c r="E76" t="s">
        <v>20</v>
      </c>
      <c r="F76">
        <v>-0.06</v>
      </c>
      <c r="G76">
        <v>-0.06</v>
      </c>
      <c r="H76">
        <v>-0.98</v>
      </c>
      <c r="I76">
        <v>-0.98</v>
      </c>
      <c r="J76" t="s">
        <v>14</v>
      </c>
    </row>
    <row r="77" spans="1:10" x14ac:dyDescent="0.25">
      <c r="A77">
        <v>18257</v>
      </c>
      <c r="B77">
        <v>5.7968000000000002</v>
      </c>
      <c r="C77">
        <v>5.7984999999999998</v>
      </c>
      <c r="D77" s="13">
        <v>46135.544050925928</v>
      </c>
      <c r="E77" t="s">
        <v>20</v>
      </c>
      <c r="F77">
        <v>-0.02</v>
      </c>
      <c r="G77">
        <v>-0.02</v>
      </c>
      <c r="H77">
        <v>-0.31</v>
      </c>
      <c r="I77">
        <v>-0.32</v>
      </c>
      <c r="J77" t="s">
        <v>14</v>
      </c>
    </row>
    <row r="78" spans="1:10" x14ac:dyDescent="0.25">
      <c r="A78">
        <v>18258</v>
      </c>
      <c r="B78">
        <v>5.8674999999999997</v>
      </c>
      <c r="C78">
        <v>5.8692000000000002</v>
      </c>
      <c r="D78" s="13">
        <v>46136.546018518522</v>
      </c>
      <c r="E78" t="s">
        <v>20</v>
      </c>
      <c r="F78">
        <v>7.0000000000000007E-2</v>
      </c>
      <c r="G78">
        <v>7.0000000000000007E-2</v>
      </c>
      <c r="H78">
        <v>1.22</v>
      </c>
      <c r="I78">
        <v>1.22</v>
      </c>
      <c r="J78" t="s">
        <v>14</v>
      </c>
    </row>
    <row r="79" spans="1:10" x14ac:dyDescent="0.25">
      <c r="A79">
        <v>18259</v>
      </c>
      <c r="B79">
        <v>5.8291000000000004</v>
      </c>
      <c r="C79">
        <v>5.8303000000000003</v>
      </c>
      <c r="D79" s="13">
        <v>46139.545995370368</v>
      </c>
      <c r="E79" t="s">
        <v>20</v>
      </c>
      <c r="F79">
        <v>-0.04</v>
      </c>
      <c r="G79">
        <v>-0.04</v>
      </c>
      <c r="H79">
        <v>-0.66</v>
      </c>
      <c r="I79">
        <v>-0.65</v>
      </c>
      <c r="J79" t="s">
        <v>14</v>
      </c>
    </row>
    <row r="80" spans="1:10" x14ac:dyDescent="0.25">
      <c r="A80">
        <v>18260</v>
      </c>
      <c r="B80">
        <v>5.8419999999999996</v>
      </c>
      <c r="C80">
        <v>5.8432000000000004</v>
      </c>
      <c r="D80" s="13">
        <v>46140.54891203704</v>
      </c>
      <c r="E80" t="s">
        <v>20</v>
      </c>
      <c r="F80">
        <v>0.01</v>
      </c>
      <c r="G80">
        <v>0.01</v>
      </c>
      <c r="H80">
        <v>0.22</v>
      </c>
      <c r="I80">
        <v>0.22</v>
      </c>
      <c r="J80" t="s">
        <v>14</v>
      </c>
    </row>
    <row r="81" spans="1:10" x14ac:dyDescent="0.25">
      <c r="A81">
        <v>18261</v>
      </c>
      <c r="B81">
        <v>5.8445</v>
      </c>
      <c r="C81">
        <v>5.8456999999999999</v>
      </c>
      <c r="D81" s="13">
        <v>46141.54959490741</v>
      </c>
      <c r="E81" t="s">
        <v>20</v>
      </c>
      <c r="F81">
        <v>0</v>
      </c>
      <c r="G81">
        <v>0</v>
      </c>
      <c r="H81">
        <v>0.04</v>
      </c>
      <c r="I81">
        <v>0.04</v>
      </c>
      <c r="J81" t="s">
        <v>14</v>
      </c>
    </row>
    <row r="82" spans="1:10" x14ac:dyDescent="0.25">
      <c r="A82">
        <v>18262</v>
      </c>
      <c r="B82">
        <v>5.8498999999999999</v>
      </c>
      <c r="C82">
        <v>5.8510999999999997</v>
      </c>
      <c r="D82" s="13">
        <v>46142.546157407407</v>
      </c>
      <c r="E82" t="s">
        <v>20</v>
      </c>
      <c r="F82">
        <v>0.01</v>
      </c>
      <c r="G82">
        <v>0.01</v>
      </c>
      <c r="H82">
        <v>0.09</v>
      </c>
      <c r="I82">
        <v>0.09</v>
      </c>
      <c r="J82" t="s">
        <v>14</v>
      </c>
    </row>
    <row r="83" spans="1:10" x14ac:dyDescent="0.25">
      <c r="A83">
        <v>18263</v>
      </c>
      <c r="B83">
        <v>5.7995000000000001</v>
      </c>
      <c r="C83">
        <v>5.8007</v>
      </c>
      <c r="D83" s="13">
        <v>46146.548217592594</v>
      </c>
      <c r="E83" t="s">
        <v>21</v>
      </c>
      <c r="F83">
        <v>-0.05</v>
      </c>
      <c r="G83">
        <v>-0.05</v>
      </c>
      <c r="H83">
        <v>-0.86</v>
      </c>
      <c r="I83">
        <v>-0.86</v>
      </c>
      <c r="J83" t="s">
        <v>14</v>
      </c>
    </row>
    <row r="84" spans="1:10" x14ac:dyDescent="0.25">
      <c r="A84">
        <v>18264</v>
      </c>
      <c r="B84">
        <v>5.7636000000000003</v>
      </c>
      <c r="C84">
        <v>5.7648000000000001</v>
      </c>
      <c r="D84" s="13">
        <v>46147.544745370367</v>
      </c>
      <c r="E84" t="s">
        <v>21</v>
      </c>
      <c r="F84">
        <v>-0.04</v>
      </c>
      <c r="G84">
        <v>-0.04</v>
      </c>
      <c r="H84">
        <v>-0.62</v>
      </c>
      <c r="I84">
        <v>-0.62</v>
      </c>
      <c r="J84" t="s">
        <v>14</v>
      </c>
    </row>
    <row r="85" spans="1:10" x14ac:dyDescent="0.25">
      <c r="A85">
        <v>18265</v>
      </c>
      <c r="B85">
        <v>5.79</v>
      </c>
      <c r="C85">
        <v>5.7911999999999999</v>
      </c>
      <c r="D85" s="13">
        <v>46148.547546296293</v>
      </c>
      <c r="E85" t="s">
        <v>21</v>
      </c>
      <c r="F85">
        <v>0.03</v>
      </c>
      <c r="G85">
        <v>0.03</v>
      </c>
      <c r="H85">
        <v>0.46</v>
      </c>
      <c r="I85">
        <v>0.46</v>
      </c>
      <c r="J85" t="s">
        <v>14</v>
      </c>
    </row>
    <row r="86" spans="1:10" x14ac:dyDescent="0.25">
      <c r="A86">
        <v>18266</v>
      </c>
      <c r="B86">
        <v>5.7831999999999999</v>
      </c>
      <c r="C86">
        <v>5.7843999999999998</v>
      </c>
      <c r="D86" s="13">
        <v>46149.548252314817</v>
      </c>
      <c r="E86" t="s">
        <v>21</v>
      </c>
      <c r="F86">
        <v>-0.01</v>
      </c>
      <c r="G86">
        <v>-0.01</v>
      </c>
      <c r="H86">
        <v>-0.12</v>
      </c>
      <c r="I86">
        <v>-0.12</v>
      </c>
      <c r="J86" t="s">
        <v>14</v>
      </c>
    </row>
    <row r="87" spans="1:10" x14ac:dyDescent="0.25">
      <c r="A87">
        <v>18267</v>
      </c>
      <c r="B87">
        <v>5.7675000000000001</v>
      </c>
      <c r="C87">
        <v>5.7690999999999999</v>
      </c>
      <c r="D87" s="13">
        <v>46150.54550925926</v>
      </c>
      <c r="E87" t="s">
        <v>21</v>
      </c>
      <c r="F87">
        <v>-0.02</v>
      </c>
      <c r="G87">
        <v>-0.02</v>
      </c>
      <c r="H87">
        <v>-0.26</v>
      </c>
      <c r="I87">
        <v>-0.27</v>
      </c>
      <c r="J87" t="s">
        <v>14</v>
      </c>
    </row>
    <row r="88" spans="1:10" x14ac:dyDescent="0.25">
      <c r="A88">
        <v>18268</v>
      </c>
      <c r="B88">
        <v>5.7678000000000003</v>
      </c>
      <c r="C88">
        <v>5.7694999999999999</v>
      </c>
      <c r="D88" s="13">
        <v>46153.547511574077</v>
      </c>
      <c r="E88" t="s">
        <v>21</v>
      </c>
      <c r="F88">
        <v>0</v>
      </c>
      <c r="G88">
        <v>0</v>
      </c>
      <c r="H88">
        <v>0.01</v>
      </c>
      <c r="I88">
        <v>0.01</v>
      </c>
      <c r="J88" t="s">
        <v>14</v>
      </c>
    </row>
    <row r="89" spans="1:10" x14ac:dyDescent="0.25">
      <c r="A89">
        <v>18269</v>
      </c>
      <c r="B89">
        <v>5.7453000000000003</v>
      </c>
      <c r="C89">
        <v>5.7465000000000002</v>
      </c>
      <c r="D89" s="13">
        <v>46154.549618055556</v>
      </c>
      <c r="E89" t="s">
        <v>21</v>
      </c>
      <c r="F89">
        <v>-0.02</v>
      </c>
      <c r="G89">
        <v>-0.02</v>
      </c>
      <c r="H89">
        <v>-0.4</v>
      </c>
      <c r="I89">
        <v>-0.39</v>
      </c>
      <c r="J89" t="s">
        <v>14</v>
      </c>
    </row>
    <row r="90" spans="1:10" x14ac:dyDescent="0.25">
      <c r="A90">
        <v>18270</v>
      </c>
      <c r="B90">
        <v>5.7510000000000003</v>
      </c>
      <c r="C90">
        <v>5.7522000000000002</v>
      </c>
      <c r="D90" s="13">
        <v>46155.554108796299</v>
      </c>
      <c r="E90" t="s">
        <v>21</v>
      </c>
      <c r="F90">
        <v>0.01</v>
      </c>
      <c r="G90">
        <v>0.01</v>
      </c>
      <c r="H90">
        <v>0.1</v>
      </c>
      <c r="I90">
        <v>0.1</v>
      </c>
      <c r="J90" t="s">
        <v>14</v>
      </c>
    </row>
    <row r="91" spans="1:10" x14ac:dyDescent="0.25">
      <c r="A91">
        <v>18271</v>
      </c>
      <c r="B91">
        <v>5.8155000000000001</v>
      </c>
      <c r="C91">
        <v>5.8167</v>
      </c>
      <c r="D91" s="13">
        <v>46156.543923611112</v>
      </c>
      <c r="E91" t="s">
        <v>21</v>
      </c>
      <c r="F91">
        <v>0.06</v>
      </c>
      <c r="G91">
        <v>0.06</v>
      </c>
      <c r="H91">
        <v>1.1200000000000001</v>
      </c>
      <c r="I91">
        <v>1.1200000000000001</v>
      </c>
      <c r="J91" t="s">
        <v>14</v>
      </c>
    </row>
    <row r="92" spans="1:10" x14ac:dyDescent="0.25">
      <c r="A92">
        <v>18272</v>
      </c>
      <c r="B92">
        <v>5.8883000000000001</v>
      </c>
      <c r="C92">
        <v>5.89</v>
      </c>
      <c r="D92" s="13">
        <v>46157.547534722224</v>
      </c>
      <c r="E92" t="s">
        <v>21</v>
      </c>
      <c r="F92">
        <v>7.0000000000000007E-2</v>
      </c>
      <c r="G92">
        <v>7.0000000000000007E-2</v>
      </c>
      <c r="H92">
        <v>1.26</v>
      </c>
      <c r="I92">
        <v>1.25</v>
      </c>
      <c r="J92" t="s">
        <v>14</v>
      </c>
    </row>
    <row r="93" spans="1:10" x14ac:dyDescent="0.25">
      <c r="A93">
        <v>18273</v>
      </c>
      <c r="B93">
        <v>5.8341000000000003</v>
      </c>
      <c r="C93">
        <v>5.8357999999999999</v>
      </c>
      <c r="D93" s="13">
        <v>46160.544745370367</v>
      </c>
      <c r="E93" t="s">
        <v>21</v>
      </c>
      <c r="F93">
        <v>-0.05</v>
      </c>
      <c r="G93">
        <v>-0.05</v>
      </c>
      <c r="H93">
        <v>-0.92</v>
      </c>
      <c r="I93">
        <v>-0.92</v>
      </c>
      <c r="J93" t="s">
        <v>14</v>
      </c>
    </row>
    <row r="94" spans="1:10" x14ac:dyDescent="0.25">
      <c r="D94" s="6"/>
    </row>
    <row r="95" spans="1:10" x14ac:dyDescent="0.25">
      <c r="D95" s="6"/>
    </row>
    <row r="96" spans="1:10" x14ac:dyDescent="0.25">
      <c r="D96" s="6"/>
    </row>
    <row r="97" spans="4:4" x14ac:dyDescent="0.25">
      <c r="D97" s="6"/>
    </row>
    <row r="98" spans="4:4" x14ac:dyDescent="0.25">
      <c r="D98" s="6"/>
    </row>
    <row r="99" spans="4:4" x14ac:dyDescent="0.25">
      <c r="D99" s="6"/>
    </row>
    <row r="100" spans="4:4" x14ac:dyDescent="0.25">
      <c r="D100" s="6"/>
    </row>
    <row r="101" spans="4:4" x14ac:dyDescent="0.25">
      <c r="D101" s="6"/>
    </row>
    <row r="102" spans="4:4" x14ac:dyDescent="0.25">
      <c r="D102" s="6"/>
    </row>
    <row r="103" spans="4:4" x14ac:dyDescent="0.25">
      <c r="D103" s="6"/>
    </row>
    <row r="104" spans="4:4" x14ac:dyDescent="0.25">
      <c r="D104" s="6"/>
    </row>
    <row r="105" spans="4:4" x14ac:dyDescent="0.25">
      <c r="D105" s="6"/>
    </row>
    <row r="106" spans="4:4" x14ac:dyDescent="0.25">
      <c r="D106" s="6"/>
    </row>
    <row r="107" spans="4:4" x14ac:dyDescent="0.25">
      <c r="D107" s="6"/>
    </row>
    <row r="108" spans="4:4" x14ac:dyDescent="0.25">
      <c r="D108" s="6"/>
    </row>
    <row r="109" spans="4:4" x14ac:dyDescent="0.25">
      <c r="D109" s="6"/>
    </row>
    <row r="110" spans="4:4" x14ac:dyDescent="0.25">
      <c r="D110" s="6"/>
    </row>
    <row r="111" spans="4:4" x14ac:dyDescent="0.25">
      <c r="D111" s="6"/>
    </row>
    <row r="112" spans="4:4" x14ac:dyDescent="0.25">
      <c r="D112" s="6"/>
    </row>
    <row r="113" spans="4:4" x14ac:dyDescent="0.25">
      <c r="D113" s="6"/>
    </row>
    <row r="114" spans="4:4" x14ac:dyDescent="0.25">
      <c r="D114" s="6"/>
    </row>
    <row r="115" spans="4:4" x14ac:dyDescent="0.25">
      <c r="D115" s="6"/>
    </row>
    <row r="116" spans="4:4" x14ac:dyDescent="0.25">
      <c r="D116" s="6"/>
    </row>
    <row r="117" spans="4:4" x14ac:dyDescent="0.25">
      <c r="D117" s="6"/>
    </row>
    <row r="118" spans="4:4" x14ac:dyDescent="0.25">
      <c r="D118" s="6"/>
    </row>
    <row r="119" spans="4:4" x14ac:dyDescent="0.25">
      <c r="D119" s="6"/>
    </row>
    <row r="120" spans="4:4" x14ac:dyDescent="0.25">
      <c r="D120" s="6"/>
    </row>
    <row r="121" spans="4:4" x14ac:dyDescent="0.25">
      <c r="D121" s="6"/>
    </row>
    <row r="122" spans="4:4" x14ac:dyDescent="0.25">
      <c r="D122" s="6"/>
    </row>
    <row r="123" spans="4:4" x14ac:dyDescent="0.25">
      <c r="D123" s="6"/>
    </row>
    <row r="124" spans="4:4" x14ac:dyDescent="0.25">
      <c r="D124" s="6"/>
    </row>
    <row r="125" spans="4:4" x14ac:dyDescent="0.25">
      <c r="D125" s="6"/>
    </row>
    <row r="126" spans="4:4" x14ac:dyDescent="0.25">
      <c r="D126" s="6"/>
    </row>
    <row r="127" spans="4:4" x14ac:dyDescent="0.25">
      <c r="D127" s="6"/>
    </row>
    <row r="128" spans="4:4" x14ac:dyDescent="0.25">
      <c r="D128" s="6"/>
    </row>
    <row r="129" spans="4:4" x14ac:dyDescent="0.25">
      <c r="D129" s="6"/>
    </row>
    <row r="130" spans="4:4" x14ac:dyDescent="0.25">
      <c r="D130" s="6"/>
    </row>
    <row r="131" spans="4:4" x14ac:dyDescent="0.25">
      <c r="D131" s="6"/>
    </row>
    <row r="132" spans="4:4" x14ac:dyDescent="0.25">
      <c r="D132" s="6"/>
    </row>
    <row r="133" spans="4:4" x14ac:dyDescent="0.25">
      <c r="D133" s="6"/>
    </row>
    <row r="134" spans="4:4" x14ac:dyDescent="0.25">
      <c r="D134" s="6"/>
    </row>
    <row r="135" spans="4:4" x14ac:dyDescent="0.25">
      <c r="D135" s="6"/>
    </row>
    <row r="136" spans="4:4" x14ac:dyDescent="0.25">
      <c r="D136" s="6"/>
    </row>
    <row r="137" spans="4:4" x14ac:dyDescent="0.25">
      <c r="D137" s="6"/>
    </row>
    <row r="138" spans="4:4" x14ac:dyDescent="0.25">
      <c r="D138" s="6"/>
    </row>
    <row r="139" spans="4:4" x14ac:dyDescent="0.25">
      <c r="D139" s="6"/>
    </row>
    <row r="140" spans="4:4" x14ac:dyDescent="0.25">
      <c r="D140" s="6"/>
    </row>
    <row r="141" spans="4:4" x14ac:dyDescent="0.25">
      <c r="D141" s="6"/>
    </row>
    <row r="142" spans="4:4" x14ac:dyDescent="0.25">
      <c r="D142" s="6"/>
    </row>
    <row r="143" spans="4:4" x14ac:dyDescent="0.25">
      <c r="D143" s="6"/>
    </row>
    <row r="144" spans="4:4" x14ac:dyDescent="0.25">
      <c r="D144" s="6"/>
    </row>
    <row r="145" spans="4:4" x14ac:dyDescent="0.25">
      <c r="D145" s="6"/>
    </row>
    <row r="146" spans="4:4" x14ac:dyDescent="0.25">
      <c r="D146" s="6"/>
    </row>
    <row r="147" spans="4:4" x14ac:dyDescent="0.25">
      <c r="D147" s="6"/>
    </row>
    <row r="148" spans="4:4" x14ac:dyDescent="0.25">
      <c r="D148" s="6"/>
    </row>
    <row r="149" spans="4:4" x14ac:dyDescent="0.25">
      <c r="D149" s="6"/>
    </row>
    <row r="150" spans="4:4" x14ac:dyDescent="0.25">
      <c r="D150" s="6"/>
    </row>
    <row r="151" spans="4:4" x14ac:dyDescent="0.25">
      <c r="D151" s="6"/>
    </row>
    <row r="152" spans="4:4" x14ac:dyDescent="0.25">
      <c r="D152" s="6"/>
    </row>
    <row r="153" spans="4:4" x14ac:dyDescent="0.25">
      <c r="D153" s="6"/>
    </row>
    <row r="154" spans="4:4" x14ac:dyDescent="0.25">
      <c r="D154" s="6"/>
    </row>
    <row r="155" spans="4:4" x14ac:dyDescent="0.25">
      <c r="D155" s="6"/>
    </row>
    <row r="156" spans="4:4" x14ac:dyDescent="0.25">
      <c r="D156" s="6"/>
    </row>
    <row r="157" spans="4:4" x14ac:dyDescent="0.25">
      <c r="D157" s="6"/>
    </row>
    <row r="158" spans="4:4" x14ac:dyDescent="0.25">
      <c r="D158" s="6"/>
    </row>
    <row r="159" spans="4:4" x14ac:dyDescent="0.25">
      <c r="D159" s="6"/>
    </row>
    <row r="160" spans="4:4" x14ac:dyDescent="0.25">
      <c r="D160" s="6"/>
    </row>
    <row r="161" spans="4:4" x14ac:dyDescent="0.25">
      <c r="D161" s="6"/>
    </row>
    <row r="162" spans="4:4" x14ac:dyDescent="0.25">
      <c r="D162" s="6"/>
    </row>
    <row r="163" spans="4:4" x14ac:dyDescent="0.25">
      <c r="D163" s="6"/>
    </row>
    <row r="164" spans="4:4" x14ac:dyDescent="0.25">
      <c r="D164" s="6"/>
    </row>
    <row r="165" spans="4:4" x14ac:dyDescent="0.25">
      <c r="D165" s="6"/>
    </row>
    <row r="166" spans="4:4" x14ac:dyDescent="0.25">
      <c r="D166" s="6"/>
    </row>
    <row r="167" spans="4:4" x14ac:dyDescent="0.25">
      <c r="D167" s="6"/>
    </row>
    <row r="168" spans="4:4" x14ac:dyDescent="0.25">
      <c r="D168" s="6"/>
    </row>
    <row r="169" spans="4:4" x14ac:dyDescent="0.25">
      <c r="D169" s="6"/>
    </row>
    <row r="170" spans="4:4" x14ac:dyDescent="0.25">
      <c r="D170" s="6"/>
    </row>
    <row r="171" spans="4:4" x14ac:dyDescent="0.25">
      <c r="D171" s="6"/>
    </row>
    <row r="172" spans="4:4" x14ac:dyDescent="0.25">
      <c r="D172" s="6"/>
    </row>
    <row r="173" spans="4:4" x14ac:dyDescent="0.25">
      <c r="D173" s="6"/>
    </row>
    <row r="174" spans="4:4" x14ac:dyDescent="0.25">
      <c r="D174" s="6"/>
    </row>
    <row r="175" spans="4:4" x14ac:dyDescent="0.25">
      <c r="D175" s="6"/>
    </row>
    <row r="176" spans="4:4" x14ac:dyDescent="0.25">
      <c r="D176" s="6"/>
    </row>
    <row r="177" spans="4:4" x14ac:dyDescent="0.25">
      <c r="D177" s="6"/>
    </row>
    <row r="178" spans="4:4" x14ac:dyDescent="0.25">
      <c r="D178" s="6"/>
    </row>
    <row r="179" spans="4:4" x14ac:dyDescent="0.25">
      <c r="D179" s="6"/>
    </row>
    <row r="180" spans="4:4" x14ac:dyDescent="0.25">
      <c r="D180" s="6"/>
    </row>
    <row r="181" spans="4:4" x14ac:dyDescent="0.25">
      <c r="D181" s="6"/>
    </row>
    <row r="182" spans="4:4" x14ac:dyDescent="0.25">
      <c r="D182" s="6"/>
    </row>
    <row r="183" spans="4:4" x14ac:dyDescent="0.25">
      <c r="D183" s="6"/>
    </row>
    <row r="184" spans="4:4" x14ac:dyDescent="0.25">
      <c r="D184" s="6"/>
    </row>
    <row r="185" spans="4:4" x14ac:dyDescent="0.25">
      <c r="D185" s="6"/>
    </row>
    <row r="186" spans="4:4" x14ac:dyDescent="0.25">
      <c r="D186" s="6"/>
    </row>
    <row r="187" spans="4:4" x14ac:dyDescent="0.25">
      <c r="D187" s="6"/>
    </row>
    <row r="188" spans="4:4" x14ac:dyDescent="0.25">
      <c r="D188" s="6"/>
    </row>
    <row r="189" spans="4:4" x14ac:dyDescent="0.25">
      <c r="D189" s="6"/>
    </row>
    <row r="190" spans="4:4" x14ac:dyDescent="0.25">
      <c r="D190" s="6"/>
    </row>
    <row r="191" spans="4:4" x14ac:dyDescent="0.25">
      <c r="D191" s="6"/>
    </row>
    <row r="192" spans="4:4" x14ac:dyDescent="0.25">
      <c r="D192" s="6"/>
    </row>
    <row r="193" spans="4:4" x14ac:dyDescent="0.25">
      <c r="D193" s="6"/>
    </row>
    <row r="194" spans="4:4" x14ac:dyDescent="0.25">
      <c r="D194" s="6"/>
    </row>
    <row r="195" spans="4:4" x14ac:dyDescent="0.25">
      <c r="D195" s="6"/>
    </row>
    <row r="196" spans="4:4" x14ac:dyDescent="0.25">
      <c r="D196" s="6"/>
    </row>
    <row r="197" spans="4:4" x14ac:dyDescent="0.25">
      <c r="D197" s="6"/>
    </row>
    <row r="198" spans="4:4" x14ac:dyDescent="0.25">
      <c r="D198" s="6"/>
    </row>
    <row r="199" spans="4:4" x14ac:dyDescent="0.25">
      <c r="D199" s="6"/>
    </row>
    <row r="200" spans="4:4" x14ac:dyDescent="0.25">
      <c r="D200" s="6"/>
    </row>
    <row r="201" spans="4:4" x14ac:dyDescent="0.25">
      <c r="D201" s="6"/>
    </row>
    <row r="202" spans="4:4" x14ac:dyDescent="0.25">
      <c r="D202" s="6"/>
    </row>
    <row r="203" spans="4:4" x14ac:dyDescent="0.25">
      <c r="D203" s="6"/>
    </row>
    <row r="204" spans="4:4" x14ac:dyDescent="0.25">
      <c r="D204" s="6"/>
    </row>
    <row r="205" spans="4:4" x14ac:dyDescent="0.25">
      <c r="D205" s="6"/>
    </row>
    <row r="206" spans="4:4" x14ac:dyDescent="0.25">
      <c r="D206" s="6"/>
    </row>
    <row r="207" spans="4:4" x14ac:dyDescent="0.25">
      <c r="D207" s="6"/>
    </row>
    <row r="208" spans="4:4" x14ac:dyDescent="0.25">
      <c r="D208" s="6"/>
    </row>
    <row r="209" spans="4:4" x14ac:dyDescent="0.25">
      <c r="D209" s="6"/>
    </row>
    <row r="210" spans="4:4" x14ac:dyDescent="0.25">
      <c r="D210" s="6"/>
    </row>
    <row r="211" spans="4:4" x14ac:dyDescent="0.25">
      <c r="D211" s="6"/>
    </row>
    <row r="212" spans="4:4" x14ac:dyDescent="0.25">
      <c r="D212" s="6"/>
    </row>
    <row r="213" spans="4:4" x14ac:dyDescent="0.25">
      <c r="D213" s="6"/>
    </row>
    <row r="214" spans="4:4" x14ac:dyDescent="0.25">
      <c r="D214" s="6"/>
    </row>
    <row r="215" spans="4:4" x14ac:dyDescent="0.25">
      <c r="D215" s="6"/>
    </row>
    <row r="216" spans="4:4" x14ac:dyDescent="0.25">
      <c r="D216" s="6"/>
    </row>
    <row r="217" spans="4:4" x14ac:dyDescent="0.25">
      <c r="D217" s="6"/>
    </row>
    <row r="218" spans="4:4" x14ac:dyDescent="0.25">
      <c r="D218" s="6"/>
    </row>
    <row r="219" spans="4:4" x14ac:dyDescent="0.25">
      <c r="D219" s="6"/>
    </row>
    <row r="220" spans="4:4" x14ac:dyDescent="0.25">
      <c r="D220" s="6"/>
    </row>
    <row r="221" spans="4:4" x14ac:dyDescent="0.25">
      <c r="D221" s="6"/>
    </row>
    <row r="222" spans="4:4" x14ac:dyDescent="0.25">
      <c r="D222" s="6"/>
    </row>
    <row r="223" spans="4:4" x14ac:dyDescent="0.25">
      <c r="D223" s="6"/>
    </row>
    <row r="224" spans="4:4" x14ac:dyDescent="0.25">
      <c r="D224" s="6"/>
    </row>
    <row r="225" spans="4:4" x14ac:dyDescent="0.25">
      <c r="D225" s="6"/>
    </row>
    <row r="226" spans="4:4" x14ac:dyDescent="0.25">
      <c r="D226" s="6"/>
    </row>
    <row r="227" spans="4:4" x14ac:dyDescent="0.25">
      <c r="D227" s="6"/>
    </row>
    <row r="228" spans="4:4" x14ac:dyDescent="0.25">
      <c r="D228" s="6"/>
    </row>
    <row r="229" spans="4:4" x14ac:dyDescent="0.25">
      <c r="D229" s="6"/>
    </row>
    <row r="230" spans="4:4" x14ac:dyDescent="0.25">
      <c r="D230" s="6"/>
    </row>
    <row r="231" spans="4:4" x14ac:dyDescent="0.25">
      <c r="D231" s="6"/>
    </row>
    <row r="232" spans="4:4" x14ac:dyDescent="0.25">
      <c r="D232" s="6"/>
    </row>
    <row r="233" spans="4:4" x14ac:dyDescent="0.25">
      <c r="D233" s="6"/>
    </row>
    <row r="234" spans="4:4" x14ac:dyDescent="0.25">
      <c r="D234" s="6"/>
    </row>
    <row r="235" spans="4:4" x14ac:dyDescent="0.25">
      <c r="D235" s="6"/>
    </row>
    <row r="236" spans="4:4" x14ac:dyDescent="0.25">
      <c r="D236" s="6"/>
    </row>
    <row r="237" spans="4:4" x14ac:dyDescent="0.25">
      <c r="D237" s="6"/>
    </row>
    <row r="238" spans="4:4" x14ac:dyDescent="0.25">
      <c r="D238" s="6"/>
    </row>
    <row r="239" spans="4:4" x14ac:dyDescent="0.25">
      <c r="D239" s="6"/>
    </row>
    <row r="240" spans="4:4" x14ac:dyDescent="0.25">
      <c r="D240" s="6"/>
    </row>
    <row r="241" spans="4:4" x14ac:dyDescent="0.25">
      <c r="D241" s="6"/>
    </row>
    <row r="242" spans="4:4" x14ac:dyDescent="0.25">
      <c r="D242" s="6"/>
    </row>
    <row r="243" spans="4:4" x14ac:dyDescent="0.25">
      <c r="D243" s="6"/>
    </row>
    <row r="244" spans="4:4" x14ac:dyDescent="0.25">
      <c r="D244" s="6"/>
    </row>
    <row r="245" spans="4:4" x14ac:dyDescent="0.25">
      <c r="D245" s="6"/>
    </row>
    <row r="246" spans="4:4" x14ac:dyDescent="0.25">
      <c r="D246" s="6"/>
    </row>
    <row r="247" spans="4:4" x14ac:dyDescent="0.25">
      <c r="D247" s="6"/>
    </row>
    <row r="248" spans="4:4" x14ac:dyDescent="0.25">
      <c r="D248" s="6"/>
    </row>
    <row r="249" spans="4:4" x14ac:dyDescent="0.25">
      <c r="D249" s="6"/>
    </row>
    <row r="250" spans="4:4" x14ac:dyDescent="0.25">
      <c r="D250" s="6"/>
    </row>
    <row r="251" spans="4:4" x14ac:dyDescent="0.25">
      <c r="D251" s="6"/>
    </row>
    <row r="252" spans="4:4" x14ac:dyDescent="0.25">
      <c r="D252" s="6"/>
    </row>
    <row r="253" spans="4:4" x14ac:dyDescent="0.25">
      <c r="D253" s="6"/>
    </row>
    <row r="254" spans="4:4" x14ac:dyDescent="0.25">
      <c r="D254" s="6"/>
    </row>
    <row r="255" spans="4:4" x14ac:dyDescent="0.25">
      <c r="D255" s="6"/>
    </row>
    <row r="256" spans="4:4" x14ac:dyDescent="0.25">
      <c r="D256" s="6"/>
    </row>
    <row r="257" spans="4:4" x14ac:dyDescent="0.25">
      <c r="D257" s="6"/>
    </row>
    <row r="258" spans="4:4" x14ac:dyDescent="0.25">
      <c r="D258" s="6"/>
    </row>
    <row r="259" spans="4:4" x14ac:dyDescent="0.25">
      <c r="D259" s="6"/>
    </row>
    <row r="260" spans="4:4" x14ac:dyDescent="0.25">
      <c r="D260" s="6"/>
    </row>
    <row r="261" spans="4:4" x14ac:dyDescent="0.25">
      <c r="D261" s="6"/>
    </row>
    <row r="262" spans="4:4" x14ac:dyDescent="0.25">
      <c r="D262" s="6"/>
    </row>
    <row r="263" spans="4:4" x14ac:dyDescent="0.25">
      <c r="D263" s="6"/>
    </row>
    <row r="264" spans="4:4" x14ac:dyDescent="0.25">
      <c r="D264" s="6"/>
    </row>
    <row r="265" spans="4:4" x14ac:dyDescent="0.25">
      <c r="D265" s="6"/>
    </row>
    <row r="266" spans="4:4" x14ac:dyDescent="0.25">
      <c r="D266" s="6"/>
    </row>
    <row r="267" spans="4:4" x14ac:dyDescent="0.25">
      <c r="D267" s="6"/>
    </row>
    <row r="268" spans="4:4" x14ac:dyDescent="0.25">
      <c r="D268" s="6"/>
    </row>
    <row r="269" spans="4:4" x14ac:dyDescent="0.25">
      <c r="D269" s="6"/>
    </row>
    <row r="270" spans="4:4" x14ac:dyDescent="0.25">
      <c r="D270" s="6"/>
    </row>
    <row r="271" spans="4:4" x14ac:dyDescent="0.25">
      <c r="D271" s="6"/>
    </row>
    <row r="272" spans="4:4" x14ac:dyDescent="0.25">
      <c r="D272" s="6"/>
    </row>
    <row r="273" spans="4:4" x14ac:dyDescent="0.25">
      <c r="D273" s="6"/>
    </row>
    <row r="274" spans="4:4" x14ac:dyDescent="0.25">
      <c r="D274" s="6"/>
    </row>
    <row r="275" spans="4:4" x14ac:dyDescent="0.25">
      <c r="D275" s="6"/>
    </row>
    <row r="276" spans="4:4" x14ac:dyDescent="0.25">
      <c r="D276" s="6"/>
    </row>
    <row r="277" spans="4:4" x14ac:dyDescent="0.25">
      <c r="D277" s="6"/>
    </row>
    <row r="278" spans="4:4" x14ac:dyDescent="0.25">
      <c r="D278" s="6"/>
    </row>
    <row r="279" spans="4:4" x14ac:dyDescent="0.25">
      <c r="D279" s="6"/>
    </row>
    <row r="280" spans="4:4" x14ac:dyDescent="0.25">
      <c r="D280" s="6"/>
    </row>
    <row r="281" spans="4:4" x14ac:dyDescent="0.25">
      <c r="D281" s="6"/>
    </row>
    <row r="282" spans="4:4" x14ac:dyDescent="0.25">
      <c r="D282" s="6"/>
    </row>
    <row r="283" spans="4:4" x14ac:dyDescent="0.25">
      <c r="D283" s="6"/>
    </row>
    <row r="284" spans="4:4" x14ac:dyDescent="0.25">
      <c r="D284" s="6"/>
    </row>
    <row r="285" spans="4:4" x14ac:dyDescent="0.25">
      <c r="D285" s="6"/>
    </row>
    <row r="286" spans="4:4" x14ac:dyDescent="0.25">
      <c r="D286" s="6"/>
    </row>
    <row r="287" spans="4:4" x14ac:dyDescent="0.25">
      <c r="D287" s="6"/>
    </row>
    <row r="288" spans="4:4" x14ac:dyDescent="0.25">
      <c r="D288" s="6"/>
    </row>
    <row r="289" spans="4:4" x14ac:dyDescent="0.25">
      <c r="D289" s="6"/>
    </row>
    <row r="290" spans="4:4" x14ac:dyDescent="0.25">
      <c r="D290" s="6"/>
    </row>
    <row r="291" spans="4:4" x14ac:dyDescent="0.25">
      <c r="D291" s="6"/>
    </row>
    <row r="292" spans="4:4" x14ac:dyDescent="0.25">
      <c r="D292" s="6"/>
    </row>
    <row r="293" spans="4:4" x14ac:dyDescent="0.25">
      <c r="D293" s="6"/>
    </row>
    <row r="294" spans="4:4" x14ac:dyDescent="0.25">
      <c r="D294" s="6"/>
    </row>
    <row r="295" spans="4:4" x14ac:dyDescent="0.25">
      <c r="D295" s="6"/>
    </row>
    <row r="296" spans="4:4" x14ac:dyDescent="0.25">
      <c r="D296" s="6"/>
    </row>
    <row r="297" spans="4:4" x14ac:dyDescent="0.25">
      <c r="D297" s="6"/>
    </row>
    <row r="298" spans="4:4" x14ac:dyDescent="0.25">
      <c r="D298" s="6"/>
    </row>
    <row r="299" spans="4:4" x14ac:dyDescent="0.25">
      <c r="D299" s="6"/>
    </row>
    <row r="300" spans="4:4" x14ac:dyDescent="0.25">
      <c r="D300" s="6"/>
    </row>
    <row r="301" spans="4:4" x14ac:dyDescent="0.25">
      <c r="D301" s="6"/>
    </row>
    <row r="302" spans="4:4" x14ac:dyDescent="0.25">
      <c r="D302" s="6"/>
    </row>
    <row r="303" spans="4:4" x14ac:dyDescent="0.25">
      <c r="D303" s="6"/>
    </row>
    <row r="304" spans="4:4" x14ac:dyDescent="0.25">
      <c r="D304" s="6"/>
    </row>
    <row r="305" spans="4:4" x14ac:dyDescent="0.25">
      <c r="D305" s="6"/>
    </row>
    <row r="306" spans="4:4" x14ac:dyDescent="0.25">
      <c r="D306" s="6"/>
    </row>
    <row r="307" spans="4:4" x14ac:dyDescent="0.25">
      <c r="D307" s="6"/>
    </row>
    <row r="308" spans="4:4" x14ac:dyDescent="0.25">
      <c r="D308" s="6"/>
    </row>
    <row r="309" spans="4:4" x14ac:dyDescent="0.25">
      <c r="D309" s="6"/>
    </row>
    <row r="310" spans="4:4" x14ac:dyDescent="0.25">
      <c r="D310" s="6"/>
    </row>
    <row r="311" spans="4:4" x14ac:dyDescent="0.25">
      <c r="D311" s="6"/>
    </row>
    <row r="312" spans="4:4" x14ac:dyDescent="0.25">
      <c r="D312" s="6"/>
    </row>
    <row r="313" spans="4:4" x14ac:dyDescent="0.25">
      <c r="D313" s="6"/>
    </row>
    <row r="314" spans="4:4" x14ac:dyDescent="0.25">
      <c r="D314" s="6"/>
    </row>
    <row r="315" spans="4:4" x14ac:dyDescent="0.25">
      <c r="D315" s="6"/>
    </row>
    <row r="316" spans="4:4" x14ac:dyDescent="0.25">
      <c r="D316" s="6"/>
    </row>
    <row r="317" spans="4:4" x14ac:dyDescent="0.25">
      <c r="D317" s="6"/>
    </row>
    <row r="318" spans="4:4" x14ac:dyDescent="0.25">
      <c r="D318" s="6"/>
    </row>
    <row r="319" spans="4:4" x14ac:dyDescent="0.25">
      <c r="D319" s="6"/>
    </row>
    <row r="320" spans="4:4" x14ac:dyDescent="0.25">
      <c r="D320" s="6"/>
    </row>
    <row r="321" spans="4:4" x14ac:dyDescent="0.25">
      <c r="D321" s="6"/>
    </row>
    <row r="322" spans="4:4" x14ac:dyDescent="0.25">
      <c r="D322" s="6"/>
    </row>
    <row r="323" spans="4:4" x14ac:dyDescent="0.25">
      <c r="D323" s="6"/>
    </row>
    <row r="324" spans="4:4" x14ac:dyDescent="0.25">
      <c r="D324" s="6"/>
    </row>
    <row r="325" spans="4:4" x14ac:dyDescent="0.25">
      <c r="D325" s="6"/>
    </row>
    <row r="326" spans="4:4" x14ac:dyDescent="0.25">
      <c r="D326" s="6"/>
    </row>
    <row r="327" spans="4:4" x14ac:dyDescent="0.25">
      <c r="D327" s="6"/>
    </row>
    <row r="328" spans="4:4" x14ac:dyDescent="0.25">
      <c r="D328" s="6"/>
    </row>
    <row r="329" spans="4:4" x14ac:dyDescent="0.25">
      <c r="D329" s="6"/>
    </row>
    <row r="330" spans="4:4" x14ac:dyDescent="0.25">
      <c r="D330" s="6"/>
    </row>
    <row r="331" spans="4:4" x14ac:dyDescent="0.25">
      <c r="D331" s="6"/>
    </row>
    <row r="332" spans="4:4" x14ac:dyDescent="0.25">
      <c r="D332" s="6"/>
    </row>
    <row r="333" spans="4:4" x14ac:dyDescent="0.25">
      <c r="D333" s="6"/>
    </row>
    <row r="334" spans="4:4" x14ac:dyDescent="0.25">
      <c r="D334" s="6"/>
    </row>
    <row r="335" spans="4:4" x14ac:dyDescent="0.25">
      <c r="D335" s="6"/>
    </row>
    <row r="336" spans="4:4" x14ac:dyDescent="0.25">
      <c r="D336" s="6"/>
    </row>
    <row r="337" spans="4:4" x14ac:dyDescent="0.25">
      <c r="D337" s="6"/>
    </row>
    <row r="338" spans="4:4" x14ac:dyDescent="0.25">
      <c r="D338" s="6"/>
    </row>
    <row r="339" spans="4:4" x14ac:dyDescent="0.25">
      <c r="D339" s="6"/>
    </row>
    <row r="340" spans="4:4" x14ac:dyDescent="0.25">
      <c r="D340" s="6"/>
    </row>
    <row r="341" spans="4:4" x14ac:dyDescent="0.25">
      <c r="D341" s="6"/>
    </row>
    <row r="342" spans="4:4" x14ac:dyDescent="0.25">
      <c r="D342" s="6"/>
    </row>
    <row r="343" spans="4:4" x14ac:dyDescent="0.25">
      <c r="D343" s="6"/>
    </row>
    <row r="344" spans="4:4" x14ac:dyDescent="0.25">
      <c r="D344" s="6"/>
    </row>
    <row r="345" spans="4:4" x14ac:dyDescent="0.25">
      <c r="D345" s="6"/>
    </row>
    <row r="346" spans="4:4" x14ac:dyDescent="0.25">
      <c r="D346" s="6"/>
    </row>
    <row r="347" spans="4:4" x14ac:dyDescent="0.25">
      <c r="D347" s="6"/>
    </row>
    <row r="348" spans="4:4" x14ac:dyDescent="0.25">
      <c r="D348" s="6"/>
    </row>
    <row r="349" spans="4:4" x14ac:dyDescent="0.25">
      <c r="D349" s="6"/>
    </row>
    <row r="350" spans="4:4" x14ac:dyDescent="0.25">
      <c r="D350" s="6"/>
    </row>
    <row r="351" spans="4:4" x14ac:dyDescent="0.25">
      <c r="D351" s="6"/>
    </row>
    <row r="352" spans="4:4" x14ac:dyDescent="0.25">
      <c r="D352" s="6"/>
    </row>
    <row r="353" spans="4:4" x14ac:dyDescent="0.25">
      <c r="D353" s="6"/>
    </row>
    <row r="354" spans="4:4" x14ac:dyDescent="0.25">
      <c r="D354" s="6"/>
    </row>
    <row r="355" spans="4:4" x14ac:dyDescent="0.25">
      <c r="D355" s="6"/>
    </row>
    <row r="356" spans="4:4" x14ac:dyDescent="0.25">
      <c r="D356" s="6"/>
    </row>
    <row r="357" spans="4:4" x14ac:dyDescent="0.25">
      <c r="D357" s="6"/>
    </row>
    <row r="358" spans="4:4" x14ac:dyDescent="0.25">
      <c r="D358" s="6"/>
    </row>
    <row r="359" spans="4:4" x14ac:dyDescent="0.25">
      <c r="D359" s="6"/>
    </row>
    <row r="360" spans="4:4" x14ac:dyDescent="0.25">
      <c r="D360" s="6"/>
    </row>
    <row r="361" spans="4:4" x14ac:dyDescent="0.25">
      <c r="D361" s="6"/>
    </row>
    <row r="362" spans="4:4" x14ac:dyDescent="0.25">
      <c r="D362" s="6"/>
    </row>
    <row r="363" spans="4:4" x14ac:dyDescent="0.25">
      <c r="D363" s="6"/>
    </row>
    <row r="364" spans="4:4" x14ac:dyDescent="0.25">
      <c r="D364" s="6"/>
    </row>
    <row r="365" spans="4:4" x14ac:dyDescent="0.25">
      <c r="D365" s="6"/>
    </row>
    <row r="366" spans="4:4" x14ac:dyDescent="0.25">
      <c r="D366" s="6"/>
    </row>
    <row r="367" spans="4:4" x14ac:dyDescent="0.25">
      <c r="D367" s="6"/>
    </row>
    <row r="368" spans="4:4" x14ac:dyDescent="0.25">
      <c r="D368" s="6"/>
    </row>
    <row r="369" spans="4:4" x14ac:dyDescent="0.25">
      <c r="D369" s="6"/>
    </row>
    <row r="370" spans="4:4" x14ac:dyDescent="0.25">
      <c r="D370" s="6"/>
    </row>
    <row r="371" spans="4:4" x14ac:dyDescent="0.25">
      <c r="D371" s="6"/>
    </row>
    <row r="372" spans="4:4" x14ac:dyDescent="0.25">
      <c r="D372" s="6"/>
    </row>
    <row r="373" spans="4:4" x14ac:dyDescent="0.25">
      <c r="D373" s="6"/>
    </row>
    <row r="374" spans="4:4" x14ac:dyDescent="0.25">
      <c r="D374" s="6"/>
    </row>
    <row r="375" spans="4:4" x14ac:dyDescent="0.25">
      <c r="D375" s="6"/>
    </row>
    <row r="376" spans="4:4" x14ac:dyDescent="0.25">
      <c r="D376" s="6"/>
    </row>
    <row r="377" spans="4:4" x14ac:dyDescent="0.25">
      <c r="D377" s="6"/>
    </row>
    <row r="378" spans="4:4" x14ac:dyDescent="0.25">
      <c r="D378" s="6"/>
    </row>
    <row r="379" spans="4:4" x14ac:dyDescent="0.25">
      <c r="D379" s="6"/>
    </row>
    <row r="380" spans="4:4" x14ac:dyDescent="0.25">
      <c r="D380" s="6"/>
    </row>
    <row r="381" spans="4:4" x14ac:dyDescent="0.25">
      <c r="D381" s="6"/>
    </row>
    <row r="382" spans="4:4" x14ac:dyDescent="0.25">
      <c r="D382" s="6"/>
    </row>
    <row r="383" spans="4:4" x14ac:dyDescent="0.25">
      <c r="D383" s="6"/>
    </row>
    <row r="384" spans="4:4" x14ac:dyDescent="0.25">
      <c r="D384" s="6"/>
    </row>
    <row r="385" spans="4:4" x14ac:dyDescent="0.25">
      <c r="D385" s="6"/>
    </row>
    <row r="386" spans="4:4" x14ac:dyDescent="0.25">
      <c r="D386" s="6"/>
    </row>
    <row r="387" spans="4:4" x14ac:dyDescent="0.25">
      <c r="D387" s="6"/>
    </row>
    <row r="388" spans="4:4" x14ac:dyDescent="0.25">
      <c r="D388" s="6"/>
    </row>
    <row r="389" spans="4:4" x14ac:dyDescent="0.25">
      <c r="D389" s="6"/>
    </row>
    <row r="390" spans="4:4" x14ac:dyDescent="0.25">
      <c r="D390" s="6"/>
    </row>
    <row r="391" spans="4:4" x14ac:dyDescent="0.25">
      <c r="D391" s="6"/>
    </row>
    <row r="392" spans="4:4" x14ac:dyDescent="0.25">
      <c r="D392" s="6"/>
    </row>
    <row r="393" spans="4:4" x14ac:dyDescent="0.25">
      <c r="D393" s="6"/>
    </row>
    <row r="394" spans="4:4" x14ac:dyDescent="0.25">
      <c r="D394" s="6"/>
    </row>
    <row r="395" spans="4:4" x14ac:dyDescent="0.25">
      <c r="D395" s="6"/>
    </row>
    <row r="396" spans="4:4" x14ac:dyDescent="0.25">
      <c r="D396" s="6"/>
    </row>
    <row r="397" spans="4:4" x14ac:dyDescent="0.25">
      <c r="D397" s="6"/>
    </row>
    <row r="398" spans="4:4" x14ac:dyDescent="0.25">
      <c r="D398" s="6"/>
    </row>
    <row r="399" spans="4:4" x14ac:dyDescent="0.25">
      <c r="D399" s="6"/>
    </row>
    <row r="400" spans="4:4" x14ac:dyDescent="0.25">
      <c r="D400" s="6"/>
    </row>
    <row r="401" spans="4:4" x14ac:dyDescent="0.25">
      <c r="D401" s="6"/>
    </row>
    <row r="402" spans="4:4" x14ac:dyDescent="0.25">
      <c r="D402" s="6"/>
    </row>
    <row r="403" spans="4:4" x14ac:dyDescent="0.25">
      <c r="D403" s="6"/>
    </row>
    <row r="404" spans="4:4" x14ac:dyDescent="0.25">
      <c r="D404" s="6"/>
    </row>
    <row r="405" spans="4:4" x14ac:dyDescent="0.25">
      <c r="D405" s="6"/>
    </row>
    <row r="406" spans="4:4" x14ac:dyDescent="0.25">
      <c r="D406" s="6"/>
    </row>
    <row r="407" spans="4:4" x14ac:dyDescent="0.25">
      <c r="D407" s="6"/>
    </row>
    <row r="408" spans="4:4" x14ac:dyDescent="0.25">
      <c r="D408" s="6"/>
    </row>
    <row r="409" spans="4:4" x14ac:dyDescent="0.25">
      <c r="D409" s="6"/>
    </row>
    <row r="410" spans="4:4" x14ac:dyDescent="0.25">
      <c r="D410" s="6"/>
    </row>
    <row r="411" spans="4:4" x14ac:dyDescent="0.25">
      <c r="D411" s="6"/>
    </row>
    <row r="412" spans="4:4" x14ac:dyDescent="0.25">
      <c r="D412" s="6"/>
    </row>
    <row r="413" spans="4:4" x14ac:dyDescent="0.25">
      <c r="D413" s="6"/>
    </row>
    <row r="414" spans="4:4" x14ac:dyDescent="0.25">
      <c r="D414" s="6"/>
    </row>
    <row r="415" spans="4:4" x14ac:dyDescent="0.25">
      <c r="D415" s="6"/>
    </row>
    <row r="416" spans="4:4" x14ac:dyDescent="0.25">
      <c r="D416" s="6"/>
    </row>
    <row r="417" spans="4:4" x14ac:dyDescent="0.25">
      <c r="D417" s="6"/>
    </row>
    <row r="418" spans="4:4" x14ac:dyDescent="0.25">
      <c r="D418" s="6"/>
    </row>
    <row r="419" spans="4:4" x14ac:dyDescent="0.25">
      <c r="D419" s="6"/>
    </row>
    <row r="420" spans="4:4" x14ac:dyDescent="0.25">
      <c r="D420" s="6"/>
    </row>
    <row r="421" spans="4:4" x14ac:dyDescent="0.25">
      <c r="D421" s="6"/>
    </row>
    <row r="422" spans="4:4" x14ac:dyDescent="0.25">
      <c r="D422" s="6"/>
    </row>
    <row r="423" spans="4:4" x14ac:dyDescent="0.25">
      <c r="D423" s="6"/>
    </row>
    <row r="424" spans="4:4" x14ac:dyDescent="0.25">
      <c r="D424" s="6"/>
    </row>
    <row r="425" spans="4:4" x14ac:dyDescent="0.25">
      <c r="D425" s="6"/>
    </row>
    <row r="426" spans="4:4" x14ac:dyDescent="0.25">
      <c r="D426" s="6"/>
    </row>
    <row r="427" spans="4:4" x14ac:dyDescent="0.25">
      <c r="D427" s="6"/>
    </row>
    <row r="428" spans="4:4" x14ac:dyDescent="0.25">
      <c r="D428" s="6"/>
    </row>
    <row r="429" spans="4:4" x14ac:dyDescent="0.25">
      <c r="D429" s="6"/>
    </row>
    <row r="430" spans="4:4" x14ac:dyDescent="0.25">
      <c r="D430" s="6"/>
    </row>
    <row r="431" spans="4:4" x14ac:dyDescent="0.25">
      <c r="D431" s="6"/>
    </row>
    <row r="432" spans="4:4" x14ac:dyDescent="0.25">
      <c r="D432" s="6"/>
    </row>
    <row r="433" spans="4:4" x14ac:dyDescent="0.25">
      <c r="D433" s="6"/>
    </row>
    <row r="434" spans="4:4" x14ac:dyDescent="0.25">
      <c r="D434" s="6"/>
    </row>
    <row r="435" spans="4:4" x14ac:dyDescent="0.25">
      <c r="D435" s="6"/>
    </row>
    <row r="436" spans="4:4" x14ac:dyDescent="0.25">
      <c r="D436" s="6"/>
    </row>
    <row r="437" spans="4:4" x14ac:dyDescent="0.25">
      <c r="D437" s="6"/>
    </row>
    <row r="438" spans="4:4" x14ac:dyDescent="0.25">
      <c r="D438" s="6"/>
    </row>
    <row r="439" spans="4:4" x14ac:dyDescent="0.25">
      <c r="D439" s="6"/>
    </row>
    <row r="440" spans="4:4" x14ac:dyDescent="0.25">
      <c r="D440" s="6"/>
    </row>
    <row r="441" spans="4:4" x14ac:dyDescent="0.25">
      <c r="D441" s="6"/>
    </row>
    <row r="442" spans="4:4" x14ac:dyDescent="0.25">
      <c r="D442" s="6"/>
    </row>
    <row r="443" spans="4:4" x14ac:dyDescent="0.25">
      <c r="D443" s="6"/>
    </row>
    <row r="444" spans="4:4" x14ac:dyDescent="0.25">
      <c r="D444" s="6"/>
    </row>
    <row r="445" spans="4:4" x14ac:dyDescent="0.25">
      <c r="D445" s="6"/>
    </row>
    <row r="446" spans="4:4" x14ac:dyDescent="0.25">
      <c r="D446" s="6"/>
    </row>
    <row r="447" spans="4:4" x14ac:dyDescent="0.25">
      <c r="D447" s="6"/>
    </row>
    <row r="448" spans="4:4" x14ac:dyDescent="0.25">
      <c r="D448" s="6"/>
    </row>
    <row r="449" spans="4:4" x14ac:dyDescent="0.25">
      <c r="D449" s="6"/>
    </row>
    <row r="450" spans="4:4" x14ac:dyDescent="0.25">
      <c r="D450" s="6"/>
    </row>
    <row r="451" spans="4:4" x14ac:dyDescent="0.25">
      <c r="D451" s="6"/>
    </row>
    <row r="452" spans="4:4" x14ac:dyDescent="0.25">
      <c r="D452" s="6"/>
    </row>
    <row r="453" spans="4:4" x14ac:dyDescent="0.25">
      <c r="D453" s="6"/>
    </row>
    <row r="454" spans="4:4" x14ac:dyDescent="0.25">
      <c r="D454" s="6"/>
    </row>
    <row r="455" spans="4:4" x14ac:dyDescent="0.25">
      <c r="D455" s="6"/>
    </row>
    <row r="456" spans="4:4" x14ac:dyDescent="0.25">
      <c r="D456" s="6"/>
    </row>
    <row r="457" spans="4:4" x14ac:dyDescent="0.25">
      <c r="D457" s="6"/>
    </row>
    <row r="458" spans="4:4" x14ac:dyDescent="0.25">
      <c r="D458" s="6"/>
    </row>
    <row r="459" spans="4:4" x14ac:dyDescent="0.25">
      <c r="D459" s="6"/>
    </row>
    <row r="460" spans="4:4" x14ac:dyDescent="0.25">
      <c r="D460" s="6"/>
    </row>
    <row r="461" spans="4:4" x14ac:dyDescent="0.25">
      <c r="D461" s="6"/>
    </row>
    <row r="462" spans="4:4" x14ac:dyDescent="0.25">
      <c r="D462" s="6"/>
    </row>
    <row r="463" spans="4:4" x14ac:dyDescent="0.25">
      <c r="D463" s="6"/>
    </row>
    <row r="464" spans="4:4" x14ac:dyDescent="0.25">
      <c r="D464" s="6"/>
    </row>
    <row r="465" spans="4:4" x14ac:dyDescent="0.25">
      <c r="D465" s="6"/>
    </row>
    <row r="466" spans="4:4" x14ac:dyDescent="0.25">
      <c r="D466" s="6"/>
    </row>
    <row r="467" spans="4:4" x14ac:dyDescent="0.25">
      <c r="D467" s="6"/>
    </row>
    <row r="468" spans="4:4" x14ac:dyDescent="0.25">
      <c r="D468" s="6"/>
    </row>
    <row r="469" spans="4:4" x14ac:dyDescent="0.25">
      <c r="D469" s="6"/>
    </row>
    <row r="470" spans="4:4" x14ac:dyDescent="0.25">
      <c r="D470" s="6"/>
    </row>
    <row r="471" spans="4:4" x14ac:dyDescent="0.25">
      <c r="D471" s="6"/>
    </row>
    <row r="472" spans="4:4" x14ac:dyDescent="0.25">
      <c r="D472" s="6"/>
    </row>
    <row r="473" spans="4:4" x14ac:dyDescent="0.25">
      <c r="D473" s="6"/>
    </row>
    <row r="474" spans="4:4" x14ac:dyDescent="0.25">
      <c r="D474" s="6"/>
    </row>
    <row r="475" spans="4:4" x14ac:dyDescent="0.25">
      <c r="D475" s="6"/>
    </row>
    <row r="476" spans="4:4" x14ac:dyDescent="0.25">
      <c r="D476" s="6"/>
    </row>
    <row r="477" spans="4:4" x14ac:dyDescent="0.25">
      <c r="D477" s="6"/>
    </row>
    <row r="478" spans="4:4" x14ac:dyDescent="0.25">
      <c r="D478" s="6"/>
    </row>
    <row r="479" spans="4:4" x14ac:dyDescent="0.25">
      <c r="D479" s="6"/>
    </row>
    <row r="480" spans="4:4" x14ac:dyDescent="0.25">
      <c r="D480" s="6"/>
    </row>
    <row r="481" spans="4:4" x14ac:dyDescent="0.25">
      <c r="D481" s="6"/>
    </row>
    <row r="482" spans="4:4" x14ac:dyDescent="0.25">
      <c r="D482" s="6"/>
    </row>
    <row r="483" spans="4:4" x14ac:dyDescent="0.25">
      <c r="D483" s="6"/>
    </row>
    <row r="484" spans="4:4" x14ac:dyDescent="0.25">
      <c r="D484" s="6"/>
    </row>
    <row r="485" spans="4:4" x14ac:dyDescent="0.25">
      <c r="D485" s="6"/>
    </row>
    <row r="486" spans="4:4" x14ac:dyDescent="0.25">
      <c r="D486" s="6"/>
    </row>
    <row r="487" spans="4:4" x14ac:dyDescent="0.25">
      <c r="D487" s="6"/>
    </row>
    <row r="488" spans="4:4" x14ac:dyDescent="0.25">
      <c r="D488" s="6"/>
    </row>
    <row r="489" spans="4:4" x14ac:dyDescent="0.25">
      <c r="D489" s="6"/>
    </row>
    <row r="490" spans="4:4" x14ac:dyDescent="0.25">
      <c r="D490" s="6"/>
    </row>
    <row r="491" spans="4:4" x14ac:dyDescent="0.25">
      <c r="D491" s="6"/>
    </row>
    <row r="492" spans="4:4" x14ac:dyDescent="0.25">
      <c r="D492" s="6"/>
    </row>
    <row r="493" spans="4:4" x14ac:dyDescent="0.25">
      <c r="D493" s="6"/>
    </row>
    <row r="494" spans="4:4" x14ac:dyDescent="0.25">
      <c r="D494" s="6"/>
    </row>
    <row r="495" spans="4:4" x14ac:dyDescent="0.25">
      <c r="D495" s="6"/>
    </row>
    <row r="496" spans="4:4" x14ac:dyDescent="0.25">
      <c r="D496" s="6"/>
    </row>
    <row r="497" spans="4:4" x14ac:dyDescent="0.25">
      <c r="D497" s="6"/>
    </row>
    <row r="498" spans="4:4" x14ac:dyDescent="0.25">
      <c r="D498" s="6"/>
    </row>
    <row r="499" spans="4:4" x14ac:dyDescent="0.25">
      <c r="D499" s="6"/>
    </row>
    <row r="500" spans="4:4" x14ac:dyDescent="0.25">
      <c r="D500" s="6"/>
    </row>
    <row r="501" spans="4:4" x14ac:dyDescent="0.25">
      <c r="D501" s="6"/>
    </row>
    <row r="502" spans="4:4" x14ac:dyDescent="0.25">
      <c r="D502" s="6"/>
    </row>
    <row r="503" spans="4:4" x14ac:dyDescent="0.25">
      <c r="D503" s="6"/>
    </row>
    <row r="504" spans="4:4" x14ac:dyDescent="0.25">
      <c r="D504" s="6"/>
    </row>
    <row r="505" spans="4:4" x14ac:dyDescent="0.25">
      <c r="D505" s="6"/>
    </row>
    <row r="506" spans="4:4" x14ac:dyDescent="0.25">
      <c r="D506" s="6"/>
    </row>
    <row r="507" spans="4:4" x14ac:dyDescent="0.25">
      <c r="D507" s="6"/>
    </row>
    <row r="508" spans="4:4" x14ac:dyDescent="0.25">
      <c r="D508" s="6"/>
    </row>
    <row r="509" spans="4:4" x14ac:dyDescent="0.25">
      <c r="D509" s="6"/>
    </row>
    <row r="510" spans="4:4" x14ac:dyDescent="0.25">
      <c r="D510" s="6"/>
    </row>
    <row r="511" spans="4:4" x14ac:dyDescent="0.25">
      <c r="D511" s="6"/>
    </row>
    <row r="512" spans="4:4" x14ac:dyDescent="0.25">
      <c r="D512" s="6"/>
    </row>
    <row r="513" spans="4:4" x14ac:dyDescent="0.25">
      <c r="D513" s="6"/>
    </row>
    <row r="514" spans="4:4" x14ac:dyDescent="0.25">
      <c r="D514" s="6"/>
    </row>
    <row r="515" spans="4:4" x14ac:dyDescent="0.25">
      <c r="D515" s="6"/>
    </row>
    <row r="516" spans="4:4" x14ac:dyDescent="0.25">
      <c r="D516" s="6"/>
    </row>
    <row r="517" spans="4:4" x14ac:dyDescent="0.25">
      <c r="D517" s="6"/>
    </row>
    <row r="518" spans="4:4" x14ac:dyDescent="0.25">
      <c r="D518" s="6"/>
    </row>
    <row r="519" spans="4:4" x14ac:dyDescent="0.25">
      <c r="D519" s="6"/>
    </row>
    <row r="520" spans="4:4" x14ac:dyDescent="0.25">
      <c r="D520" s="6"/>
    </row>
    <row r="521" spans="4:4" x14ac:dyDescent="0.25">
      <c r="D521" s="6"/>
    </row>
    <row r="522" spans="4:4" x14ac:dyDescent="0.25">
      <c r="D522" s="6"/>
    </row>
    <row r="523" spans="4:4" x14ac:dyDescent="0.25">
      <c r="D523" s="6"/>
    </row>
    <row r="524" spans="4:4" x14ac:dyDescent="0.25">
      <c r="D524" s="6"/>
    </row>
    <row r="525" spans="4:4" x14ac:dyDescent="0.25">
      <c r="D525" s="6"/>
    </row>
    <row r="526" spans="4:4" x14ac:dyDescent="0.25">
      <c r="D526" s="6"/>
    </row>
    <row r="527" spans="4:4" x14ac:dyDescent="0.25">
      <c r="D527" s="6"/>
    </row>
    <row r="528" spans="4:4" x14ac:dyDescent="0.25">
      <c r="D528" s="6"/>
    </row>
    <row r="529" spans="4:4" x14ac:dyDescent="0.25">
      <c r="D529" s="6"/>
    </row>
    <row r="530" spans="4:4" x14ac:dyDescent="0.25">
      <c r="D530" s="6"/>
    </row>
    <row r="531" spans="4:4" x14ac:dyDescent="0.25">
      <c r="D531" s="6"/>
    </row>
    <row r="532" spans="4:4" x14ac:dyDescent="0.25">
      <c r="D532" s="6"/>
    </row>
    <row r="533" spans="4:4" x14ac:dyDescent="0.25">
      <c r="D533" s="6"/>
    </row>
    <row r="534" spans="4:4" x14ac:dyDescent="0.25">
      <c r="D534" s="6"/>
    </row>
    <row r="535" spans="4:4" x14ac:dyDescent="0.25">
      <c r="D535" s="6"/>
    </row>
    <row r="536" spans="4:4" x14ac:dyDescent="0.25">
      <c r="D536" s="6"/>
    </row>
    <row r="537" spans="4:4" x14ac:dyDescent="0.25">
      <c r="D537" s="6"/>
    </row>
    <row r="538" spans="4:4" x14ac:dyDescent="0.25">
      <c r="D538" s="6"/>
    </row>
    <row r="539" spans="4:4" x14ac:dyDescent="0.25">
      <c r="D539" s="6"/>
    </row>
    <row r="540" spans="4:4" x14ac:dyDescent="0.25">
      <c r="D540" s="6"/>
    </row>
    <row r="541" spans="4:4" x14ac:dyDescent="0.25">
      <c r="D541" s="6"/>
    </row>
    <row r="542" spans="4:4" x14ac:dyDescent="0.25">
      <c r="D542" s="6"/>
    </row>
    <row r="543" spans="4:4" x14ac:dyDescent="0.25">
      <c r="D543" s="6"/>
    </row>
    <row r="544" spans="4:4" x14ac:dyDescent="0.25">
      <c r="D544" s="6"/>
    </row>
    <row r="545" spans="4:4" x14ac:dyDescent="0.25">
      <c r="D545" s="6"/>
    </row>
    <row r="546" spans="4:4" x14ac:dyDescent="0.25">
      <c r="D546" s="6"/>
    </row>
    <row r="547" spans="4:4" x14ac:dyDescent="0.25">
      <c r="D547" s="6"/>
    </row>
    <row r="548" spans="4:4" x14ac:dyDescent="0.25">
      <c r="D548" s="6"/>
    </row>
    <row r="549" spans="4:4" x14ac:dyDescent="0.25">
      <c r="D549" s="6"/>
    </row>
    <row r="550" spans="4:4" x14ac:dyDescent="0.25">
      <c r="D550" s="6"/>
    </row>
    <row r="551" spans="4:4" x14ac:dyDescent="0.25">
      <c r="D551" s="6"/>
    </row>
    <row r="552" spans="4:4" x14ac:dyDescent="0.25">
      <c r="D552" s="6"/>
    </row>
    <row r="553" spans="4:4" x14ac:dyDescent="0.25">
      <c r="D553" s="6"/>
    </row>
    <row r="554" spans="4:4" x14ac:dyDescent="0.25">
      <c r="D554" s="6"/>
    </row>
    <row r="555" spans="4:4" x14ac:dyDescent="0.25">
      <c r="D555" s="6"/>
    </row>
    <row r="556" spans="4:4" x14ac:dyDescent="0.25">
      <c r="D556" s="6"/>
    </row>
    <row r="557" spans="4:4" x14ac:dyDescent="0.25">
      <c r="D557" s="6"/>
    </row>
    <row r="558" spans="4:4" x14ac:dyDescent="0.25">
      <c r="D558" s="6"/>
    </row>
    <row r="559" spans="4:4" x14ac:dyDescent="0.25">
      <c r="D559" s="6"/>
    </row>
    <row r="560" spans="4:4" x14ac:dyDescent="0.25">
      <c r="D560" s="6"/>
    </row>
    <row r="561" spans="4:4" x14ac:dyDescent="0.25">
      <c r="D561" s="6"/>
    </row>
    <row r="562" spans="4:4" x14ac:dyDescent="0.25">
      <c r="D562" s="6"/>
    </row>
    <row r="563" spans="4:4" x14ac:dyDescent="0.25">
      <c r="D563" s="6"/>
    </row>
    <row r="564" spans="4:4" x14ac:dyDescent="0.25">
      <c r="D564" s="6"/>
    </row>
    <row r="565" spans="4:4" x14ac:dyDescent="0.25">
      <c r="D565" s="6"/>
    </row>
    <row r="566" spans="4:4" x14ac:dyDescent="0.25">
      <c r="D566" s="6"/>
    </row>
    <row r="567" spans="4:4" x14ac:dyDescent="0.25">
      <c r="D567" s="6"/>
    </row>
    <row r="568" spans="4:4" x14ac:dyDescent="0.25">
      <c r="D568" s="6"/>
    </row>
    <row r="569" spans="4:4" x14ac:dyDescent="0.25">
      <c r="D569" s="6"/>
    </row>
    <row r="570" spans="4:4" x14ac:dyDescent="0.25">
      <c r="D570" s="6"/>
    </row>
    <row r="571" spans="4:4" x14ac:dyDescent="0.25">
      <c r="D571" s="6"/>
    </row>
    <row r="572" spans="4:4" x14ac:dyDescent="0.25">
      <c r="D572" s="6"/>
    </row>
    <row r="573" spans="4:4" x14ac:dyDescent="0.25">
      <c r="D573" s="6"/>
    </row>
    <row r="574" spans="4:4" x14ac:dyDescent="0.25">
      <c r="D574" s="6"/>
    </row>
    <row r="575" spans="4:4" x14ac:dyDescent="0.25">
      <c r="D575" s="6"/>
    </row>
    <row r="576" spans="4:4" x14ac:dyDescent="0.25">
      <c r="D576" s="6"/>
    </row>
    <row r="577" spans="4:4" x14ac:dyDescent="0.25">
      <c r="D577" s="6"/>
    </row>
    <row r="578" spans="4:4" x14ac:dyDescent="0.25">
      <c r="D578" s="6"/>
    </row>
    <row r="579" spans="4:4" x14ac:dyDescent="0.25">
      <c r="D579" s="6"/>
    </row>
    <row r="580" spans="4:4" x14ac:dyDescent="0.25">
      <c r="D580" s="6"/>
    </row>
    <row r="581" spans="4:4" x14ac:dyDescent="0.25">
      <c r="D581" s="6"/>
    </row>
    <row r="582" spans="4:4" x14ac:dyDescent="0.25">
      <c r="D582" s="6"/>
    </row>
    <row r="583" spans="4:4" x14ac:dyDescent="0.25">
      <c r="D583" s="6"/>
    </row>
    <row r="584" spans="4:4" x14ac:dyDescent="0.25">
      <c r="D584" s="6"/>
    </row>
    <row r="585" spans="4:4" x14ac:dyDescent="0.25">
      <c r="D585" s="6"/>
    </row>
    <row r="586" spans="4:4" x14ac:dyDescent="0.25">
      <c r="D586" s="6"/>
    </row>
    <row r="587" spans="4:4" x14ac:dyDescent="0.25">
      <c r="D587" s="6"/>
    </row>
    <row r="588" spans="4:4" x14ac:dyDescent="0.25">
      <c r="D588" s="6"/>
    </row>
    <row r="589" spans="4:4" x14ac:dyDescent="0.25">
      <c r="D589" s="6"/>
    </row>
    <row r="590" spans="4:4" x14ac:dyDescent="0.25">
      <c r="D590" s="6"/>
    </row>
    <row r="591" spans="4:4" x14ac:dyDescent="0.25">
      <c r="D591" s="6"/>
    </row>
    <row r="592" spans="4:4" x14ac:dyDescent="0.25">
      <c r="D592" s="6"/>
    </row>
    <row r="593" spans="4:4" x14ac:dyDescent="0.25">
      <c r="D593" s="6"/>
    </row>
    <row r="594" spans="4:4" x14ac:dyDescent="0.25">
      <c r="D594" s="6"/>
    </row>
    <row r="595" spans="4:4" x14ac:dyDescent="0.25">
      <c r="D595" s="6"/>
    </row>
    <row r="596" spans="4:4" x14ac:dyDescent="0.25">
      <c r="D596" s="6"/>
    </row>
    <row r="597" spans="4:4" x14ac:dyDescent="0.25">
      <c r="D597" s="6"/>
    </row>
    <row r="598" spans="4:4" x14ac:dyDescent="0.25">
      <c r="D598" s="6"/>
    </row>
    <row r="599" spans="4:4" x14ac:dyDescent="0.25">
      <c r="D599" s="6"/>
    </row>
    <row r="600" spans="4:4" x14ac:dyDescent="0.25">
      <c r="D600" s="6"/>
    </row>
    <row r="601" spans="4:4" x14ac:dyDescent="0.25">
      <c r="D601" s="6"/>
    </row>
    <row r="602" spans="4:4" x14ac:dyDescent="0.25">
      <c r="D602" s="6"/>
    </row>
    <row r="603" spans="4:4" x14ac:dyDescent="0.25">
      <c r="D603" s="6"/>
    </row>
    <row r="604" spans="4:4" x14ac:dyDescent="0.25">
      <c r="D604" s="6"/>
    </row>
    <row r="605" spans="4:4" x14ac:dyDescent="0.25">
      <c r="D605" s="6"/>
    </row>
    <row r="606" spans="4:4" x14ac:dyDescent="0.25">
      <c r="D606" s="6"/>
    </row>
    <row r="607" spans="4:4" x14ac:dyDescent="0.25">
      <c r="D607" s="6"/>
    </row>
    <row r="608" spans="4:4" x14ac:dyDescent="0.25">
      <c r="D608" s="6"/>
    </row>
    <row r="609" spans="4:4" x14ac:dyDescent="0.25">
      <c r="D609" s="6"/>
    </row>
    <row r="610" spans="4:4" x14ac:dyDescent="0.25">
      <c r="D610" s="6"/>
    </row>
    <row r="611" spans="4:4" x14ac:dyDescent="0.25">
      <c r="D611" s="6"/>
    </row>
    <row r="612" spans="4:4" x14ac:dyDescent="0.25">
      <c r="D612" s="6"/>
    </row>
    <row r="613" spans="4:4" x14ac:dyDescent="0.25">
      <c r="D613" s="6"/>
    </row>
    <row r="614" spans="4:4" x14ac:dyDescent="0.25">
      <c r="D614" s="6"/>
    </row>
    <row r="615" spans="4:4" x14ac:dyDescent="0.25">
      <c r="D615" s="6"/>
    </row>
    <row r="616" spans="4:4" x14ac:dyDescent="0.25">
      <c r="D616" s="6"/>
    </row>
    <row r="617" spans="4:4" x14ac:dyDescent="0.25">
      <c r="D617" s="6"/>
    </row>
    <row r="618" spans="4:4" x14ac:dyDescent="0.25">
      <c r="D618" s="6"/>
    </row>
    <row r="619" spans="4:4" x14ac:dyDescent="0.25">
      <c r="D619" s="6"/>
    </row>
    <row r="620" spans="4:4" x14ac:dyDescent="0.25">
      <c r="D620" s="6"/>
    </row>
    <row r="621" spans="4:4" x14ac:dyDescent="0.25">
      <c r="D621" s="6"/>
    </row>
    <row r="622" spans="4:4" x14ac:dyDescent="0.25">
      <c r="D622" s="6"/>
    </row>
    <row r="623" spans="4:4" x14ac:dyDescent="0.25">
      <c r="D623" s="6"/>
    </row>
    <row r="624" spans="4:4" x14ac:dyDescent="0.25">
      <c r="D624" s="6"/>
    </row>
    <row r="625" spans="4:4" x14ac:dyDescent="0.25">
      <c r="D625" s="6"/>
    </row>
    <row r="626" spans="4:4" x14ac:dyDescent="0.25">
      <c r="D626" s="6"/>
    </row>
    <row r="627" spans="4:4" x14ac:dyDescent="0.25">
      <c r="D627" s="6"/>
    </row>
    <row r="628" spans="4:4" x14ac:dyDescent="0.25">
      <c r="D628" s="6"/>
    </row>
    <row r="629" spans="4:4" x14ac:dyDescent="0.25">
      <c r="D629" s="6"/>
    </row>
    <row r="630" spans="4:4" x14ac:dyDescent="0.25">
      <c r="D630" s="6"/>
    </row>
    <row r="631" spans="4:4" x14ac:dyDescent="0.25">
      <c r="D631" s="6"/>
    </row>
    <row r="632" spans="4:4" x14ac:dyDescent="0.25">
      <c r="D632" s="6"/>
    </row>
    <row r="633" spans="4:4" x14ac:dyDescent="0.25">
      <c r="D633" s="6"/>
    </row>
    <row r="634" spans="4:4" x14ac:dyDescent="0.25">
      <c r="D634" s="6"/>
    </row>
    <row r="635" spans="4:4" x14ac:dyDescent="0.25">
      <c r="D635" s="6"/>
    </row>
    <row r="636" spans="4:4" x14ac:dyDescent="0.25">
      <c r="D636" s="6"/>
    </row>
    <row r="637" spans="4:4" x14ac:dyDescent="0.25">
      <c r="D637" s="6"/>
    </row>
    <row r="638" spans="4:4" x14ac:dyDescent="0.25">
      <c r="D638" s="6"/>
    </row>
    <row r="639" spans="4:4" x14ac:dyDescent="0.25">
      <c r="D639" s="6"/>
    </row>
    <row r="640" spans="4:4" x14ac:dyDescent="0.25">
      <c r="D640" s="6"/>
    </row>
    <row r="641" spans="4:4" x14ac:dyDescent="0.25">
      <c r="D641" s="6"/>
    </row>
    <row r="642" spans="4:4" x14ac:dyDescent="0.25">
      <c r="D642" s="6"/>
    </row>
    <row r="643" spans="4:4" x14ac:dyDescent="0.25">
      <c r="D643" s="6"/>
    </row>
    <row r="644" spans="4:4" x14ac:dyDescent="0.25">
      <c r="D644" s="6"/>
    </row>
    <row r="645" spans="4:4" x14ac:dyDescent="0.25">
      <c r="D645" s="6"/>
    </row>
    <row r="646" spans="4:4" x14ac:dyDescent="0.25">
      <c r="D646" s="6"/>
    </row>
    <row r="647" spans="4:4" x14ac:dyDescent="0.25">
      <c r="D647" s="6"/>
    </row>
    <row r="648" spans="4:4" x14ac:dyDescent="0.25">
      <c r="D648" s="6"/>
    </row>
    <row r="649" spans="4:4" x14ac:dyDescent="0.25">
      <c r="D649" s="6"/>
    </row>
    <row r="650" spans="4:4" x14ac:dyDescent="0.25">
      <c r="D650" s="6"/>
    </row>
    <row r="651" spans="4:4" x14ac:dyDescent="0.25">
      <c r="D651" s="6"/>
    </row>
    <row r="652" spans="4:4" x14ac:dyDescent="0.25">
      <c r="D652" s="6"/>
    </row>
    <row r="653" spans="4:4" x14ac:dyDescent="0.25">
      <c r="D653" s="6"/>
    </row>
    <row r="654" spans="4:4" x14ac:dyDescent="0.25">
      <c r="D654" s="6"/>
    </row>
    <row r="655" spans="4:4" x14ac:dyDescent="0.25">
      <c r="D655" s="6"/>
    </row>
    <row r="656" spans="4:4" x14ac:dyDescent="0.25">
      <c r="D656" s="6"/>
    </row>
    <row r="657" spans="4:4" x14ac:dyDescent="0.25">
      <c r="D657" s="6"/>
    </row>
    <row r="658" spans="4:4" x14ac:dyDescent="0.25">
      <c r="D658" s="6"/>
    </row>
    <row r="659" spans="4:4" x14ac:dyDescent="0.25">
      <c r="D659" s="6"/>
    </row>
    <row r="660" spans="4:4" x14ac:dyDescent="0.25">
      <c r="D660" s="6"/>
    </row>
    <row r="661" spans="4:4" x14ac:dyDescent="0.25">
      <c r="D661" s="6"/>
    </row>
    <row r="662" spans="4:4" x14ac:dyDescent="0.25">
      <c r="D662" s="6"/>
    </row>
    <row r="663" spans="4:4" x14ac:dyDescent="0.25">
      <c r="D663" s="6"/>
    </row>
    <row r="664" spans="4:4" x14ac:dyDescent="0.25">
      <c r="D664" s="6"/>
    </row>
    <row r="665" spans="4:4" x14ac:dyDescent="0.25">
      <c r="D665" s="6"/>
    </row>
    <row r="666" spans="4:4" x14ac:dyDescent="0.25">
      <c r="D666" s="6"/>
    </row>
    <row r="667" spans="4:4" x14ac:dyDescent="0.25">
      <c r="D667" s="6"/>
    </row>
    <row r="668" spans="4:4" x14ac:dyDescent="0.25">
      <c r="D668" s="6"/>
    </row>
    <row r="669" spans="4:4" x14ac:dyDescent="0.25">
      <c r="D669" s="6"/>
    </row>
    <row r="670" spans="4:4" x14ac:dyDescent="0.25">
      <c r="D670" s="6"/>
    </row>
    <row r="671" spans="4:4" x14ac:dyDescent="0.25">
      <c r="D671" s="6"/>
    </row>
    <row r="672" spans="4:4" x14ac:dyDescent="0.25">
      <c r="D672" s="6"/>
    </row>
    <row r="673" spans="4:4" x14ac:dyDescent="0.25">
      <c r="D673" s="6"/>
    </row>
    <row r="674" spans="4:4" x14ac:dyDescent="0.25">
      <c r="D674" s="6"/>
    </row>
    <row r="675" spans="4:4" x14ac:dyDescent="0.25">
      <c r="D675" s="6"/>
    </row>
    <row r="676" spans="4:4" x14ac:dyDescent="0.25">
      <c r="D676" s="6"/>
    </row>
    <row r="677" spans="4:4" x14ac:dyDescent="0.25">
      <c r="D677" s="6"/>
    </row>
    <row r="678" spans="4:4" x14ac:dyDescent="0.25">
      <c r="D678" s="6"/>
    </row>
    <row r="679" spans="4:4" x14ac:dyDescent="0.25">
      <c r="D679" s="6"/>
    </row>
    <row r="680" spans="4:4" x14ac:dyDescent="0.25">
      <c r="D680" s="6"/>
    </row>
    <row r="681" spans="4:4" x14ac:dyDescent="0.25">
      <c r="D681" s="6"/>
    </row>
    <row r="682" spans="4:4" x14ac:dyDescent="0.25">
      <c r="D682" s="6"/>
    </row>
    <row r="683" spans="4:4" x14ac:dyDescent="0.25">
      <c r="D683" s="6"/>
    </row>
    <row r="684" spans="4:4" x14ac:dyDescent="0.25">
      <c r="D684" s="6"/>
    </row>
    <row r="685" spans="4:4" x14ac:dyDescent="0.25">
      <c r="D685" s="6"/>
    </row>
    <row r="686" spans="4:4" x14ac:dyDescent="0.25">
      <c r="D686" s="6"/>
    </row>
    <row r="687" spans="4:4" x14ac:dyDescent="0.25">
      <c r="D687" s="6"/>
    </row>
    <row r="688" spans="4:4" x14ac:dyDescent="0.25">
      <c r="D688" s="6"/>
    </row>
    <row r="689" spans="4:4" x14ac:dyDescent="0.25">
      <c r="D689" s="6"/>
    </row>
    <row r="690" spans="4:4" x14ac:dyDescent="0.25">
      <c r="D690" s="6"/>
    </row>
    <row r="691" spans="4:4" x14ac:dyDescent="0.25">
      <c r="D691" s="6"/>
    </row>
    <row r="692" spans="4:4" x14ac:dyDescent="0.25">
      <c r="D692" s="6"/>
    </row>
    <row r="693" spans="4:4" x14ac:dyDescent="0.25">
      <c r="D693" s="6"/>
    </row>
    <row r="694" spans="4:4" x14ac:dyDescent="0.25">
      <c r="D694" s="6"/>
    </row>
    <row r="695" spans="4:4" x14ac:dyDescent="0.25">
      <c r="D695" s="6"/>
    </row>
    <row r="696" spans="4:4" x14ac:dyDescent="0.25">
      <c r="D696" s="6"/>
    </row>
    <row r="697" spans="4:4" x14ac:dyDescent="0.25">
      <c r="D697" s="6"/>
    </row>
    <row r="698" spans="4:4" x14ac:dyDescent="0.25">
      <c r="D698" s="6"/>
    </row>
    <row r="699" spans="4:4" x14ac:dyDescent="0.25">
      <c r="D699" s="6"/>
    </row>
    <row r="700" spans="4:4" x14ac:dyDescent="0.25">
      <c r="D700" s="6"/>
    </row>
    <row r="701" spans="4:4" x14ac:dyDescent="0.25">
      <c r="D701" s="6"/>
    </row>
    <row r="702" spans="4:4" x14ac:dyDescent="0.25">
      <c r="D702" s="6"/>
    </row>
    <row r="703" spans="4:4" x14ac:dyDescent="0.25">
      <c r="D703" s="6"/>
    </row>
    <row r="704" spans="4:4" x14ac:dyDescent="0.25">
      <c r="D704" s="6"/>
    </row>
    <row r="705" spans="4:4" x14ac:dyDescent="0.25">
      <c r="D705" s="6"/>
    </row>
    <row r="706" spans="4:4" x14ac:dyDescent="0.25">
      <c r="D706" s="6"/>
    </row>
    <row r="707" spans="4:4" x14ac:dyDescent="0.25">
      <c r="D707" s="6"/>
    </row>
    <row r="708" spans="4:4" x14ac:dyDescent="0.25">
      <c r="D708" s="6"/>
    </row>
    <row r="709" spans="4:4" x14ac:dyDescent="0.25">
      <c r="D709" s="6"/>
    </row>
    <row r="710" spans="4:4" x14ac:dyDescent="0.25">
      <c r="D710" s="6"/>
    </row>
    <row r="711" spans="4:4" x14ac:dyDescent="0.25">
      <c r="D711" s="6"/>
    </row>
    <row r="712" spans="4:4" x14ac:dyDescent="0.25">
      <c r="D712" s="6"/>
    </row>
    <row r="713" spans="4:4" x14ac:dyDescent="0.25">
      <c r="D713" s="6"/>
    </row>
    <row r="714" spans="4:4" x14ac:dyDescent="0.25">
      <c r="D714" s="6"/>
    </row>
    <row r="715" spans="4:4" x14ac:dyDescent="0.25">
      <c r="D715" s="6"/>
    </row>
    <row r="716" spans="4:4" x14ac:dyDescent="0.25">
      <c r="D716" s="6"/>
    </row>
    <row r="717" spans="4:4" x14ac:dyDescent="0.25">
      <c r="D717" s="6"/>
    </row>
    <row r="718" spans="4:4" x14ac:dyDescent="0.25">
      <c r="D718" s="6"/>
    </row>
    <row r="719" spans="4:4" x14ac:dyDescent="0.25">
      <c r="D719" s="6"/>
    </row>
    <row r="720" spans="4:4" x14ac:dyDescent="0.25">
      <c r="D720" s="6"/>
    </row>
    <row r="721" spans="4:4" x14ac:dyDescent="0.25">
      <c r="D721" s="6"/>
    </row>
    <row r="722" spans="4:4" x14ac:dyDescent="0.25">
      <c r="D722" s="6"/>
    </row>
    <row r="723" spans="4:4" x14ac:dyDescent="0.25">
      <c r="D723" s="6"/>
    </row>
    <row r="724" spans="4:4" x14ac:dyDescent="0.25">
      <c r="D724" s="6"/>
    </row>
    <row r="725" spans="4:4" x14ac:dyDescent="0.25">
      <c r="D725" s="6"/>
    </row>
    <row r="726" spans="4:4" x14ac:dyDescent="0.25">
      <c r="D726" s="6"/>
    </row>
    <row r="727" spans="4:4" x14ac:dyDescent="0.25">
      <c r="D727" s="6"/>
    </row>
    <row r="728" spans="4:4" x14ac:dyDescent="0.25">
      <c r="D728" s="6"/>
    </row>
    <row r="729" spans="4:4" x14ac:dyDescent="0.25">
      <c r="D729" s="6"/>
    </row>
    <row r="730" spans="4:4" x14ac:dyDescent="0.25">
      <c r="D730" s="6"/>
    </row>
    <row r="731" spans="4:4" x14ac:dyDescent="0.25">
      <c r="D731" s="6"/>
    </row>
    <row r="732" spans="4:4" x14ac:dyDescent="0.25">
      <c r="D732" s="6"/>
    </row>
    <row r="733" spans="4:4" x14ac:dyDescent="0.25">
      <c r="D733" s="6"/>
    </row>
    <row r="734" spans="4:4" x14ac:dyDescent="0.25">
      <c r="D734" s="6"/>
    </row>
    <row r="735" spans="4:4" x14ac:dyDescent="0.25">
      <c r="D735" s="6"/>
    </row>
    <row r="736" spans="4:4" x14ac:dyDescent="0.25">
      <c r="D736" s="6"/>
    </row>
    <row r="737" spans="4:4" x14ac:dyDescent="0.25">
      <c r="D737" s="6"/>
    </row>
    <row r="738" spans="4:4" x14ac:dyDescent="0.25">
      <c r="D738" s="6"/>
    </row>
    <row r="739" spans="4:4" x14ac:dyDescent="0.25">
      <c r="D739" s="6"/>
    </row>
    <row r="740" spans="4:4" x14ac:dyDescent="0.25">
      <c r="D740" s="6"/>
    </row>
    <row r="741" spans="4:4" x14ac:dyDescent="0.25">
      <c r="D741" s="6"/>
    </row>
    <row r="742" spans="4:4" x14ac:dyDescent="0.25">
      <c r="D742" s="6"/>
    </row>
    <row r="743" spans="4:4" x14ac:dyDescent="0.25">
      <c r="D743" s="6"/>
    </row>
    <row r="744" spans="4:4" x14ac:dyDescent="0.25">
      <c r="D744" s="6"/>
    </row>
    <row r="745" spans="4:4" x14ac:dyDescent="0.25">
      <c r="D745" s="6"/>
    </row>
    <row r="746" spans="4:4" x14ac:dyDescent="0.25">
      <c r="D746" s="6"/>
    </row>
    <row r="747" spans="4:4" x14ac:dyDescent="0.25">
      <c r="D747" s="6"/>
    </row>
    <row r="748" spans="4:4" x14ac:dyDescent="0.25">
      <c r="D748" s="6"/>
    </row>
    <row r="749" spans="4:4" x14ac:dyDescent="0.25">
      <c r="D749" s="6"/>
    </row>
    <row r="750" spans="4:4" x14ac:dyDescent="0.25">
      <c r="D750" s="6"/>
    </row>
    <row r="751" spans="4:4" x14ac:dyDescent="0.25">
      <c r="D751" s="6"/>
    </row>
    <row r="752" spans="4:4" x14ac:dyDescent="0.25">
      <c r="D752" s="6"/>
    </row>
    <row r="753" spans="4:4" x14ac:dyDescent="0.25">
      <c r="D753" s="6"/>
    </row>
    <row r="754" spans="4:4" x14ac:dyDescent="0.25">
      <c r="D754" s="6"/>
    </row>
    <row r="755" spans="4:4" x14ac:dyDescent="0.25">
      <c r="D755" s="6"/>
    </row>
    <row r="756" spans="4:4" x14ac:dyDescent="0.25">
      <c r="D756" s="6"/>
    </row>
    <row r="757" spans="4:4" x14ac:dyDescent="0.25">
      <c r="D757" s="6"/>
    </row>
    <row r="758" spans="4:4" x14ac:dyDescent="0.25">
      <c r="D758" s="6"/>
    </row>
    <row r="759" spans="4:4" x14ac:dyDescent="0.25">
      <c r="D759" s="6"/>
    </row>
    <row r="760" spans="4:4" x14ac:dyDescent="0.25">
      <c r="D760" s="6"/>
    </row>
    <row r="761" spans="4:4" x14ac:dyDescent="0.25">
      <c r="D761" s="6"/>
    </row>
    <row r="762" spans="4:4" x14ac:dyDescent="0.25">
      <c r="D762" s="6"/>
    </row>
    <row r="763" spans="4:4" x14ac:dyDescent="0.25">
      <c r="D763" s="6"/>
    </row>
    <row r="764" spans="4:4" x14ac:dyDescent="0.25">
      <c r="D764" s="6"/>
    </row>
    <row r="765" spans="4:4" x14ac:dyDescent="0.25">
      <c r="D765" s="6"/>
    </row>
    <row r="766" spans="4:4" x14ac:dyDescent="0.25">
      <c r="D766" s="6"/>
    </row>
    <row r="767" spans="4:4" x14ac:dyDescent="0.25">
      <c r="D767" s="6"/>
    </row>
    <row r="768" spans="4:4" x14ac:dyDescent="0.25">
      <c r="D768" s="6"/>
    </row>
    <row r="769" spans="4:4" x14ac:dyDescent="0.25">
      <c r="D769" s="6"/>
    </row>
    <row r="770" spans="4:4" x14ac:dyDescent="0.25">
      <c r="D770" s="6"/>
    </row>
    <row r="771" spans="4:4" x14ac:dyDescent="0.25">
      <c r="D771" s="6"/>
    </row>
    <row r="772" spans="4:4" x14ac:dyDescent="0.25">
      <c r="D772" s="6"/>
    </row>
    <row r="773" spans="4:4" x14ac:dyDescent="0.25">
      <c r="D773" s="6"/>
    </row>
    <row r="774" spans="4:4" x14ac:dyDescent="0.25">
      <c r="D774" s="6"/>
    </row>
    <row r="775" spans="4:4" x14ac:dyDescent="0.25">
      <c r="D775" s="6"/>
    </row>
    <row r="776" spans="4:4" x14ac:dyDescent="0.25">
      <c r="D776" s="6"/>
    </row>
    <row r="777" spans="4:4" x14ac:dyDescent="0.25">
      <c r="D777" s="6"/>
    </row>
    <row r="778" spans="4:4" x14ac:dyDescent="0.25">
      <c r="D778" s="6"/>
    </row>
    <row r="779" spans="4:4" x14ac:dyDescent="0.25">
      <c r="D779" s="6"/>
    </row>
    <row r="780" spans="4:4" x14ac:dyDescent="0.25">
      <c r="D780" s="6"/>
    </row>
    <row r="781" spans="4:4" x14ac:dyDescent="0.25">
      <c r="D781" s="6"/>
    </row>
    <row r="782" spans="4:4" x14ac:dyDescent="0.25">
      <c r="D782" s="6"/>
    </row>
    <row r="783" spans="4:4" x14ac:dyDescent="0.25">
      <c r="D783" s="6"/>
    </row>
    <row r="784" spans="4:4" x14ac:dyDescent="0.25">
      <c r="D784" s="6"/>
    </row>
    <row r="785" spans="4:4" x14ac:dyDescent="0.25">
      <c r="D785" s="6"/>
    </row>
    <row r="786" spans="4:4" x14ac:dyDescent="0.25">
      <c r="D786" s="6"/>
    </row>
    <row r="787" spans="4:4" x14ac:dyDescent="0.25">
      <c r="D787" s="6"/>
    </row>
    <row r="788" spans="4:4" x14ac:dyDescent="0.25">
      <c r="D788" s="6"/>
    </row>
    <row r="789" spans="4:4" x14ac:dyDescent="0.25">
      <c r="D789" s="6"/>
    </row>
    <row r="790" spans="4:4" x14ac:dyDescent="0.25">
      <c r="D790" s="6"/>
    </row>
    <row r="791" spans="4:4" x14ac:dyDescent="0.25">
      <c r="D791" s="6"/>
    </row>
    <row r="792" spans="4:4" x14ac:dyDescent="0.25">
      <c r="D792" s="6"/>
    </row>
    <row r="793" spans="4:4" x14ac:dyDescent="0.25">
      <c r="D793" s="6"/>
    </row>
    <row r="794" spans="4:4" x14ac:dyDescent="0.25">
      <c r="D794" s="6"/>
    </row>
    <row r="795" spans="4:4" x14ac:dyDescent="0.25">
      <c r="D795" s="6"/>
    </row>
    <row r="796" spans="4:4" x14ac:dyDescent="0.25">
      <c r="D796" s="6"/>
    </row>
    <row r="797" spans="4:4" x14ac:dyDescent="0.25">
      <c r="D797" s="6"/>
    </row>
    <row r="798" spans="4:4" x14ac:dyDescent="0.25">
      <c r="D798" s="6"/>
    </row>
    <row r="799" spans="4:4" x14ac:dyDescent="0.25">
      <c r="D799" s="6"/>
    </row>
    <row r="800" spans="4:4" x14ac:dyDescent="0.25">
      <c r="D800" s="6"/>
    </row>
    <row r="801" spans="4:4" x14ac:dyDescent="0.25">
      <c r="D801" s="6"/>
    </row>
    <row r="802" spans="4:4" x14ac:dyDescent="0.25">
      <c r="D802" s="6"/>
    </row>
    <row r="803" spans="4:4" x14ac:dyDescent="0.25">
      <c r="D803" s="6"/>
    </row>
    <row r="804" spans="4:4" x14ac:dyDescent="0.25">
      <c r="D804" s="6"/>
    </row>
    <row r="805" spans="4:4" x14ac:dyDescent="0.25">
      <c r="D805" s="6"/>
    </row>
    <row r="806" spans="4:4" x14ac:dyDescent="0.25">
      <c r="D806" s="6"/>
    </row>
    <row r="807" spans="4:4" x14ac:dyDescent="0.25">
      <c r="D807" s="6"/>
    </row>
    <row r="808" spans="4:4" x14ac:dyDescent="0.25">
      <c r="D808" s="6"/>
    </row>
    <row r="809" spans="4:4" x14ac:dyDescent="0.25">
      <c r="D809" s="6"/>
    </row>
    <row r="810" spans="4:4" x14ac:dyDescent="0.25">
      <c r="D810" s="6"/>
    </row>
    <row r="811" spans="4:4" x14ac:dyDescent="0.25">
      <c r="D811" s="6"/>
    </row>
    <row r="812" spans="4:4" x14ac:dyDescent="0.25">
      <c r="D812" s="6"/>
    </row>
    <row r="813" spans="4:4" x14ac:dyDescent="0.25">
      <c r="D813" s="6"/>
    </row>
    <row r="814" spans="4:4" x14ac:dyDescent="0.25">
      <c r="D814" s="6"/>
    </row>
    <row r="815" spans="4:4" x14ac:dyDescent="0.25">
      <c r="D815" s="6"/>
    </row>
    <row r="816" spans="4:4" x14ac:dyDescent="0.25">
      <c r="D816" s="6"/>
    </row>
    <row r="817" spans="4:4" x14ac:dyDescent="0.25">
      <c r="D817" s="6"/>
    </row>
    <row r="818" spans="4:4" x14ac:dyDescent="0.25">
      <c r="D818" s="6"/>
    </row>
    <row r="819" spans="4:4" x14ac:dyDescent="0.25">
      <c r="D819" s="6"/>
    </row>
    <row r="820" spans="4:4" x14ac:dyDescent="0.25">
      <c r="D820" s="6"/>
    </row>
    <row r="821" spans="4:4" x14ac:dyDescent="0.25">
      <c r="D821" s="6"/>
    </row>
    <row r="822" spans="4:4" x14ac:dyDescent="0.25">
      <c r="D822" s="6"/>
    </row>
    <row r="823" spans="4:4" x14ac:dyDescent="0.25">
      <c r="D823" s="6"/>
    </row>
    <row r="824" spans="4:4" x14ac:dyDescent="0.25">
      <c r="D824" s="6"/>
    </row>
    <row r="825" spans="4:4" x14ac:dyDescent="0.25">
      <c r="D825" s="6"/>
    </row>
    <row r="826" spans="4:4" x14ac:dyDescent="0.25">
      <c r="D826" s="6"/>
    </row>
    <row r="827" spans="4:4" x14ac:dyDescent="0.25">
      <c r="D827" s="6"/>
    </row>
    <row r="828" spans="4:4" x14ac:dyDescent="0.25">
      <c r="D828" s="6"/>
    </row>
    <row r="829" spans="4:4" x14ac:dyDescent="0.25">
      <c r="D829" s="6"/>
    </row>
    <row r="830" spans="4:4" x14ac:dyDescent="0.25">
      <c r="D830" s="6"/>
    </row>
    <row r="831" spans="4:4" x14ac:dyDescent="0.25">
      <c r="D831" s="6"/>
    </row>
    <row r="832" spans="4:4" x14ac:dyDescent="0.25">
      <c r="D832" s="6"/>
    </row>
    <row r="833" spans="4:4" x14ac:dyDescent="0.25">
      <c r="D833" s="6"/>
    </row>
    <row r="834" spans="4:4" x14ac:dyDescent="0.25">
      <c r="D834" s="6"/>
    </row>
    <row r="835" spans="4:4" x14ac:dyDescent="0.25">
      <c r="D835" s="6"/>
    </row>
    <row r="836" spans="4:4" x14ac:dyDescent="0.25">
      <c r="D836" s="6"/>
    </row>
    <row r="837" spans="4:4" x14ac:dyDescent="0.25">
      <c r="D837" s="6"/>
    </row>
    <row r="838" spans="4:4" x14ac:dyDescent="0.25">
      <c r="D838" s="6"/>
    </row>
    <row r="839" spans="4:4" x14ac:dyDescent="0.25">
      <c r="D839" s="6"/>
    </row>
    <row r="840" spans="4:4" x14ac:dyDescent="0.25">
      <c r="D840" s="6"/>
    </row>
    <row r="841" spans="4:4" x14ac:dyDescent="0.25">
      <c r="D841" s="6"/>
    </row>
    <row r="842" spans="4:4" x14ac:dyDescent="0.25">
      <c r="D842" s="6"/>
    </row>
    <row r="843" spans="4:4" x14ac:dyDescent="0.25">
      <c r="D843" s="6"/>
    </row>
    <row r="844" spans="4:4" x14ac:dyDescent="0.25">
      <c r="D844" s="6"/>
    </row>
    <row r="845" spans="4:4" x14ac:dyDescent="0.25">
      <c r="D845" s="6"/>
    </row>
    <row r="846" spans="4:4" x14ac:dyDescent="0.25">
      <c r="D846" s="6"/>
    </row>
    <row r="847" spans="4:4" x14ac:dyDescent="0.25">
      <c r="D847" s="6"/>
    </row>
    <row r="848" spans="4:4" x14ac:dyDescent="0.25">
      <c r="D848" s="6"/>
    </row>
    <row r="849" spans="4:4" x14ac:dyDescent="0.25">
      <c r="D849" s="6"/>
    </row>
    <row r="850" spans="4:4" x14ac:dyDescent="0.25">
      <c r="D850" s="6"/>
    </row>
    <row r="851" spans="4:4" x14ac:dyDescent="0.25">
      <c r="D851" s="6"/>
    </row>
    <row r="852" spans="4:4" x14ac:dyDescent="0.25">
      <c r="D852" s="6"/>
    </row>
    <row r="853" spans="4:4" x14ac:dyDescent="0.25">
      <c r="D853" s="6"/>
    </row>
    <row r="854" spans="4:4" x14ac:dyDescent="0.25">
      <c r="D854" s="6"/>
    </row>
    <row r="855" spans="4:4" x14ac:dyDescent="0.25">
      <c r="D855" s="6"/>
    </row>
    <row r="856" spans="4:4" x14ac:dyDescent="0.25">
      <c r="D856" s="6"/>
    </row>
    <row r="857" spans="4:4" x14ac:dyDescent="0.25">
      <c r="D857" s="6"/>
    </row>
    <row r="858" spans="4:4" x14ac:dyDescent="0.25">
      <c r="D858" s="6"/>
    </row>
    <row r="859" spans="4:4" x14ac:dyDescent="0.25">
      <c r="D859" s="6"/>
    </row>
    <row r="860" spans="4:4" x14ac:dyDescent="0.25">
      <c r="D860" s="6"/>
    </row>
    <row r="861" spans="4:4" x14ac:dyDescent="0.25">
      <c r="D861" s="6"/>
    </row>
    <row r="862" spans="4:4" x14ac:dyDescent="0.25">
      <c r="D862" s="6"/>
    </row>
    <row r="863" spans="4:4" x14ac:dyDescent="0.25">
      <c r="D863" s="6"/>
    </row>
    <row r="864" spans="4:4" x14ac:dyDescent="0.25">
      <c r="D864" s="6"/>
    </row>
    <row r="865" spans="4:4" x14ac:dyDescent="0.25">
      <c r="D865" s="6"/>
    </row>
    <row r="866" spans="4:4" x14ac:dyDescent="0.25">
      <c r="D866" s="6"/>
    </row>
    <row r="867" spans="4:4" x14ac:dyDescent="0.25">
      <c r="D867" s="6"/>
    </row>
    <row r="868" spans="4:4" x14ac:dyDescent="0.25">
      <c r="D868" s="6"/>
    </row>
    <row r="869" spans="4:4" x14ac:dyDescent="0.25">
      <c r="D869" s="6"/>
    </row>
    <row r="870" spans="4:4" x14ac:dyDescent="0.25">
      <c r="D870" s="6"/>
    </row>
    <row r="871" spans="4:4" x14ac:dyDescent="0.25">
      <c r="D871" s="6"/>
    </row>
    <row r="872" spans="4:4" x14ac:dyDescent="0.25">
      <c r="D872" s="6"/>
    </row>
    <row r="873" spans="4:4" x14ac:dyDescent="0.25">
      <c r="D873" s="6"/>
    </row>
    <row r="874" spans="4:4" x14ac:dyDescent="0.25">
      <c r="D874" s="6"/>
    </row>
    <row r="875" spans="4:4" x14ac:dyDescent="0.25">
      <c r="D875" s="6"/>
    </row>
    <row r="876" spans="4:4" x14ac:dyDescent="0.25">
      <c r="D876" s="6"/>
    </row>
    <row r="877" spans="4:4" x14ac:dyDescent="0.25">
      <c r="D877" s="6"/>
    </row>
    <row r="878" spans="4:4" x14ac:dyDescent="0.25">
      <c r="D878" s="6"/>
    </row>
    <row r="879" spans="4:4" x14ac:dyDescent="0.25">
      <c r="D879" s="6"/>
    </row>
    <row r="880" spans="4:4" x14ac:dyDescent="0.25">
      <c r="D880" s="6"/>
    </row>
    <row r="881" spans="4:4" x14ac:dyDescent="0.25">
      <c r="D881" s="6"/>
    </row>
    <row r="882" spans="4:4" x14ac:dyDescent="0.25">
      <c r="D882" s="6"/>
    </row>
    <row r="883" spans="4:4" x14ac:dyDescent="0.25">
      <c r="D883" s="6"/>
    </row>
    <row r="884" spans="4:4" x14ac:dyDescent="0.25">
      <c r="D884" s="6"/>
    </row>
    <row r="885" spans="4:4" x14ac:dyDescent="0.25">
      <c r="D885" s="6"/>
    </row>
    <row r="886" spans="4:4" x14ac:dyDescent="0.25">
      <c r="D886" s="6"/>
    </row>
    <row r="887" spans="4:4" x14ac:dyDescent="0.25">
      <c r="D887" s="6"/>
    </row>
    <row r="888" spans="4:4" x14ac:dyDescent="0.25">
      <c r="D888" s="6"/>
    </row>
    <row r="889" spans="4:4" x14ac:dyDescent="0.25">
      <c r="D889" s="6"/>
    </row>
    <row r="890" spans="4:4" x14ac:dyDescent="0.25">
      <c r="D890" s="6"/>
    </row>
    <row r="891" spans="4:4" x14ac:dyDescent="0.25">
      <c r="D891" s="6"/>
    </row>
    <row r="892" spans="4:4" x14ac:dyDescent="0.25">
      <c r="D892" s="6"/>
    </row>
    <row r="893" spans="4:4" x14ac:dyDescent="0.25">
      <c r="D893" s="6"/>
    </row>
    <row r="894" spans="4:4" x14ac:dyDescent="0.25">
      <c r="D894" s="6"/>
    </row>
    <row r="895" spans="4:4" x14ac:dyDescent="0.25">
      <c r="D895" s="6"/>
    </row>
    <row r="896" spans="4:4" x14ac:dyDescent="0.25">
      <c r="D896" s="6"/>
    </row>
    <row r="897" spans="4:4" x14ac:dyDescent="0.25">
      <c r="D897" s="6"/>
    </row>
    <row r="898" spans="4:4" x14ac:dyDescent="0.25">
      <c r="D898" s="6"/>
    </row>
    <row r="899" spans="4:4" x14ac:dyDescent="0.25">
      <c r="D899" s="6"/>
    </row>
    <row r="900" spans="4:4" x14ac:dyDescent="0.25">
      <c r="D900" s="6"/>
    </row>
    <row r="901" spans="4:4" x14ac:dyDescent="0.25">
      <c r="D901" s="6"/>
    </row>
    <row r="902" spans="4:4" x14ac:dyDescent="0.25">
      <c r="D902" s="6"/>
    </row>
    <row r="903" spans="4:4" x14ac:dyDescent="0.25">
      <c r="D903" s="6"/>
    </row>
    <row r="904" spans="4:4" x14ac:dyDescent="0.25">
      <c r="D904" s="6"/>
    </row>
    <row r="905" spans="4:4" x14ac:dyDescent="0.25">
      <c r="D905" s="6"/>
    </row>
    <row r="906" spans="4:4" x14ac:dyDescent="0.25">
      <c r="D906" s="6"/>
    </row>
    <row r="907" spans="4:4" x14ac:dyDescent="0.25">
      <c r="D907" s="6"/>
    </row>
    <row r="908" spans="4:4" x14ac:dyDescent="0.25">
      <c r="D908" s="6"/>
    </row>
    <row r="909" spans="4:4" x14ac:dyDescent="0.25">
      <c r="D909" s="6"/>
    </row>
    <row r="910" spans="4:4" x14ac:dyDescent="0.25">
      <c r="D910" s="6"/>
    </row>
    <row r="911" spans="4:4" x14ac:dyDescent="0.25">
      <c r="D911" s="6"/>
    </row>
    <row r="912" spans="4:4" x14ac:dyDescent="0.25">
      <c r="D912" s="6"/>
    </row>
    <row r="913" spans="4:4" x14ac:dyDescent="0.25">
      <c r="D913" s="6"/>
    </row>
    <row r="914" spans="4:4" x14ac:dyDescent="0.25">
      <c r="D914" s="6"/>
    </row>
    <row r="915" spans="4:4" x14ac:dyDescent="0.25">
      <c r="D915" s="6"/>
    </row>
    <row r="916" spans="4:4" x14ac:dyDescent="0.25">
      <c r="D916" s="6"/>
    </row>
    <row r="917" spans="4:4" x14ac:dyDescent="0.25">
      <c r="D917" s="6"/>
    </row>
    <row r="918" spans="4:4" x14ac:dyDescent="0.25">
      <c r="D918" s="6"/>
    </row>
    <row r="919" spans="4:4" x14ac:dyDescent="0.25">
      <c r="D919" s="6"/>
    </row>
    <row r="920" spans="4:4" x14ac:dyDescent="0.25">
      <c r="D920" s="6"/>
    </row>
    <row r="921" spans="4:4" x14ac:dyDescent="0.25">
      <c r="D921" s="6"/>
    </row>
    <row r="922" spans="4:4" x14ac:dyDescent="0.25">
      <c r="D922" s="6"/>
    </row>
    <row r="923" spans="4:4" x14ac:dyDescent="0.25">
      <c r="D923" s="6"/>
    </row>
    <row r="924" spans="4:4" x14ac:dyDescent="0.25">
      <c r="D924" s="6"/>
    </row>
    <row r="925" spans="4:4" x14ac:dyDescent="0.25">
      <c r="D925" s="6"/>
    </row>
    <row r="926" spans="4:4" x14ac:dyDescent="0.25">
      <c r="D926" s="6"/>
    </row>
    <row r="927" spans="4:4" x14ac:dyDescent="0.25">
      <c r="D927" s="6"/>
    </row>
    <row r="928" spans="4:4" x14ac:dyDescent="0.25">
      <c r="D928" s="6"/>
    </row>
    <row r="929" spans="4:4" x14ac:dyDescent="0.25">
      <c r="D929" s="6"/>
    </row>
    <row r="930" spans="4:4" x14ac:dyDescent="0.25">
      <c r="D930" s="6"/>
    </row>
    <row r="931" spans="4:4" x14ac:dyDescent="0.25">
      <c r="D931" s="6"/>
    </row>
    <row r="932" spans="4:4" x14ac:dyDescent="0.25">
      <c r="D932" s="6"/>
    </row>
    <row r="933" spans="4:4" x14ac:dyDescent="0.25">
      <c r="D933" s="6"/>
    </row>
    <row r="934" spans="4:4" x14ac:dyDescent="0.25">
      <c r="D934" s="6"/>
    </row>
    <row r="935" spans="4:4" x14ac:dyDescent="0.25">
      <c r="D935" s="6"/>
    </row>
    <row r="936" spans="4:4" x14ac:dyDescent="0.25">
      <c r="D936" s="6"/>
    </row>
    <row r="937" spans="4:4" x14ac:dyDescent="0.25">
      <c r="D937" s="6"/>
    </row>
    <row r="938" spans="4:4" x14ac:dyDescent="0.25">
      <c r="D938" s="6"/>
    </row>
    <row r="939" spans="4:4" x14ac:dyDescent="0.25">
      <c r="D939" s="6"/>
    </row>
    <row r="940" spans="4:4" x14ac:dyDescent="0.25">
      <c r="D940" s="6"/>
    </row>
    <row r="941" spans="4:4" x14ac:dyDescent="0.25">
      <c r="D941" s="6"/>
    </row>
    <row r="942" spans="4:4" x14ac:dyDescent="0.25">
      <c r="D942" s="6"/>
    </row>
    <row r="943" spans="4:4" x14ac:dyDescent="0.25">
      <c r="D943" s="6"/>
    </row>
    <row r="944" spans="4:4" x14ac:dyDescent="0.25">
      <c r="D944" s="6"/>
    </row>
    <row r="945" spans="4:4" x14ac:dyDescent="0.25">
      <c r="D945" s="6"/>
    </row>
    <row r="946" spans="4:4" x14ac:dyDescent="0.25">
      <c r="D946" s="6"/>
    </row>
    <row r="947" spans="4:4" x14ac:dyDescent="0.25">
      <c r="D947" s="6"/>
    </row>
    <row r="948" spans="4:4" x14ac:dyDescent="0.25">
      <c r="D948" s="6"/>
    </row>
    <row r="949" spans="4:4" x14ac:dyDescent="0.25">
      <c r="D949" s="6"/>
    </row>
    <row r="950" spans="4:4" x14ac:dyDescent="0.25">
      <c r="D950" s="6"/>
    </row>
    <row r="951" spans="4:4" x14ac:dyDescent="0.25">
      <c r="D951" s="6"/>
    </row>
    <row r="952" spans="4:4" x14ac:dyDescent="0.25">
      <c r="D952" s="6"/>
    </row>
    <row r="953" spans="4:4" x14ac:dyDescent="0.25">
      <c r="D953" s="6"/>
    </row>
    <row r="954" spans="4:4" x14ac:dyDescent="0.25">
      <c r="D954" s="6"/>
    </row>
    <row r="955" spans="4:4" x14ac:dyDescent="0.25">
      <c r="D955" s="6"/>
    </row>
    <row r="956" spans="4:4" x14ac:dyDescent="0.25">
      <c r="D956" s="6"/>
    </row>
    <row r="957" spans="4:4" x14ac:dyDescent="0.25">
      <c r="D957" s="6"/>
    </row>
    <row r="958" spans="4:4" x14ac:dyDescent="0.25">
      <c r="D958" s="6"/>
    </row>
    <row r="959" spans="4:4" x14ac:dyDescent="0.25">
      <c r="D959" s="6"/>
    </row>
    <row r="960" spans="4:4" x14ac:dyDescent="0.25">
      <c r="D960" s="6"/>
    </row>
    <row r="961" spans="4:4" x14ac:dyDescent="0.25">
      <c r="D961" s="6"/>
    </row>
    <row r="962" spans="4:4" x14ac:dyDescent="0.25">
      <c r="D962" s="6"/>
    </row>
    <row r="963" spans="4:4" x14ac:dyDescent="0.25">
      <c r="D963" s="6"/>
    </row>
    <row r="964" spans="4:4" x14ac:dyDescent="0.25">
      <c r="D964" s="6"/>
    </row>
    <row r="965" spans="4:4" x14ac:dyDescent="0.25">
      <c r="D965" s="6"/>
    </row>
    <row r="966" spans="4:4" x14ac:dyDescent="0.25">
      <c r="D966" s="6"/>
    </row>
    <row r="967" spans="4:4" x14ac:dyDescent="0.25">
      <c r="D967" s="6"/>
    </row>
    <row r="968" spans="4:4" x14ac:dyDescent="0.25">
      <c r="D968" s="6"/>
    </row>
    <row r="969" spans="4:4" x14ac:dyDescent="0.25">
      <c r="D969" s="6"/>
    </row>
    <row r="970" spans="4:4" x14ac:dyDescent="0.25">
      <c r="D970" s="6"/>
    </row>
    <row r="971" spans="4:4" x14ac:dyDescent="0.25">
      <c r="D971" s="6"/>
    </row>
    <row r="972" spans="4:4" x14ac:dyDescent="0.25">
      <c r="D972" s="6"/>
    </row>
    <row r="973" spans="4:4" x14ac:dyDescent="0.25">
      <c r="D973" s="6"/>
    </row>
    <row r="974" spans="4:4" x14ac:dyDescent="0.25">
      <c r="D974" s="6"/>
    </row>
    <row r="975" spans="4:4" x14ac:dyDescent="0.25">
      <c r="D975" s="6"/>
    </row>
    <row r="976" spans="4:4" x14ac:dyDescent="0.25">
      <c r="D976" s="6"/>
    </row>
    <row r="977" spans="4:4" x14ac:dyDescent="0.25">
      <c r="D977" s="6"/>
    </row>
    <row r="978" spans="4:4" x14ac:dyDescent="0.25">
      <c r="D978" s="6"/>
    </row>
    <row r="979" spans="4:4" x14ac:dyDescent="0.25">
      <c r="D979" s="6"/>
    </row>
    <row r="980" spans="4:4" x14ac:dyDescent="0.25">
      <c r="D980" s="6"/>
    </row>
    <row r="981" spans="4:4" x14ac:dyDescent="0.25">
      <c r="D981" s="6"/>
    </row>
    <row r="982" spans="4:4" x14ac:dyDescent="0.25">
      <c r="D982" s="6"/>
    </row>
    <row r="983" spans="4:4" x14ac:dyDescent="0.25">
      <c r="D983" s="6"/>
    </row>
    <row r="984" spans="4:4" x14ac:dyDescent="0.25">
      <c r="D984" s="6"/>
    </row>
    <row r="985" spans="4:4" x14ac:dyDescent="0.25">
      <c r="D985" s="6"/>
    </row>
    <row r="986" spans="4:4" x14ac:dyDescent="0.25">
      <c r="D986" s="6"/>
    </row>
    <row r="987" spans="4:4" x14ac:dyDescent="0.25">
      <c r="D987" s="6"/>
    </row>
    <row r="988" spans="4:4" x14ac:dyDescent="0.25">
      <c r="D988" s="6"/>
    </row>
    <row r="989" spans="4:4" x14ac:dyDescent="0.25">
      <c r="D989" s="6"/>
    </row>
    <row r="990" spans="4:4" x14ac:dyDescent="0.25">
      <c r="D990" s="6"/>
    </row>
    <row r="991" spans="4:4" x14ac:dyDescent="0.25">
      <c r="D991" s="6"/>
    </row>
    <row r="992" spans="4:4" x14ac:dyDescent="0.25">
      <c r="D992" s="6"/>
    </row>
    <row r="993" spans="4:4" x14ac:dyDescent="0.25">
      <c r="D993" s="6"/>
    </row>
    <row r="994" spans="4:4" x14ac:dyDescent="0.25">
      <c r="D994" s="6"/>
    </row>
    <row r="995" spans="4:4" x14ac:dyDescent="0.25">
      <c r="D995" s="6"/>
    </row>
    <row r="996" spans="4:4" x14ac:dyDescent="0.25">
      <c r="D996" s="6"/>
    </row>
    <row r="997" spans="4:4" x14ac:dyDescent="0.25">
      <c r="D997" s="6"/>
    </row>
    <row r="998" spans="4:4" x14ac:dyDescent="0.25">
      <c r="D998" s="6"/>
    </row>
    <row r="999" spans="4:4" x14ac:dyDescent="0.25">
      <c r="D999" s="6"/>
    </row>
    <row r="1000" spans="4:4" x14ac:dyDescent="0.25">
      <c r="D1000" s="6"/>
    </row>
    <row r="1001" spans="4:4" x14ac:dyDescent="0.25">
      <c r="D1001" s="6"/>
    </row>
    <row r="1002" spans="4:4" x14ac:dyDescent="0.25">
      <c r="D1002" s="6"/>
    </row>
    <row r="1003" spans="4:4" x14ac:dyDescent="0.25">
      <c r="D1003" s="6"/>
    </row>
    <row r="1004" spans="4:4" x14ac:dyDescent="0.25">
      <c r="D1004" s="6"/>
    </row>
    <row r="1005" spans="4:4" x14ac:dyDescent="0.25">
      <c r="D1005" s="6"/>
    </row>
    <row r="1006" spans="4:4" x14ac:dyDescent="0.25">
      <c r="D1006" s="6"/>
    </row>
    <row r="1007" spans="4:4" x14ac:dyDescent="0.25">
      <c r="D1007" s="6"/>
    </row>
    <row r="1008" spans="4:4" x14ac:dyDescent="0.25">
      <c r="D1008" s="6"/>
    </row>
    <row r="1009" spans="4:4" x14ac:dyDescent="0.25">
      <c r="D1009" s="6"/>
    </row>
    <row r="1010" spans="4:4" x14ac:dyDescent="0.25">
      <c r="D1010" s="6"/>
    </row>
    <row r="1011" spans="4:4" x14ac:dyDescent="0.25">
      <c r="D1011" s="6"/>
    </row>
    <row r="1012" spans="4:4" x14ac:dyDescent="0.25">
      <c r="D1012" s="6"/>
    </row>
    <row r="1013" spans="4:4" x14ac:dyDescent="0.25">
      <c r="D1013" s="6"/>
    </row>
    <row r="1014" spans="4:4" x14ac:dyDescent="0.25">
      <c r="D1014" s="6"/>
    </row>
    <row r="1015" spans="4:4" x14ac:dyDescent="0.25">
      <c r="D1015" s="6"/>
    </row>
    <row r="1016" spans="4:4" x14ac:dyDescent="0.25">
      <c r="D1016" s="6"/>
    </row>
    <row r="1017" spans="4:4" x14ac:dyDescent="0.25">
      <c r="D1017" s="6"/>
    </row>
    <row r="1018" spans="4:4" x14ac:dyDescent="0.25">
      <c r="D1018" s="6"/>
    </row>
    <row r="1019" spans="4:4" x14ac:dyDescent="0.25">
      <c r="D1019" s="6"/>
    </row>
    <row r="1020" spans="4:4" x14ac:dyDescent="0.25">
      <c r="D1020" s="6"/>
    </row>
    <row r="1021" spans="4:4" x14ac:dyDescent="0.25">
      <c r="D1021" s="6"/>
    </row>
    <row r="1022" spans="4:4" x14ac:dyDescent="0.25">
      <c r="D1022" s="6"/>
    </row>
    <row r="1023" spans="4:4" x14ac:dyDescent="0.25">
      <c r="D1023" s="6"/>
    </row>
    <row r="1024" spans="4:4" x14ac:dyDescent="0.25">
      <c r="D1024" s="6"/>
    </row>
    <row r="1025" spans="4:4" x14ac:dyDescent="0.25">
      <c r="D1025" s="6"/>
    </row>
    <row r="1026" spans="4:4" x14ac:dyDescent="0.25">
      <c r="D1026" s="6"/>
    </row>
    <row r="1027" spans="4:4" x14ac:dyDescent="0.25">
      <c r="D1027" s="6"/>
    </row>
    <row r="1028" spans="4:4" x14ac:dyDescent="0.25">
      <c r="D1028" s="6"/>
    </row>
    <row r="1029" spans="4:4" x14ac:dyDescent="0.25">
      <c r="D1029" s="6"/>
    </row>
    <row r="1030" spans="4:4" x14ac:dyDescent="0.25">
      <c r="D1030" s="6"/>
    </row>
    <row r="1031" spans="4:4" x14ac:dyDescent="0.25">
      <c r="D1031" s="6"/>
    </row>
    <row r="1032" spans="4:4" x14ac:dyDescent="0.25">
      <c r="D1032" s="6"/>
    </row>
    <row r="1033" spans="4:4" x14ac:dyDescent="0.25">
      <c r="D1033" s="6"/>
    </row>
    <row r="1034" spans="4:4" x14ac:dyDescent="0.25">
      <c r="D1034" s="6"/>
    </row>
    <row r="1035" spans="4:4" x14ac:dyDescent="0.25">
      <c r="D1035" s="6"/>
    </row>
    <row r="1036" spans="4:4" x14ac:dyDescent="0.25">
      <c r="D1036" s="6"/>
    </row>
    <row r="1037" spans="4:4" x14ac:dyDescent="0.25">
      <c r="D1037" s="6"/>
    </row>
    <row r="1038" spans="4:4" x14ac:dyDescent="0.25">
      <c r="D1038" s="6"/>
    </row>
    <row r="1039" spans="4:4" x14ac:dyDescent="0.25">
      <c r="D1039" s="6"/>
    </row>
    <row r="1040" spans="4:4" x14ac:dyDescent="0.25">
      <c r="D1040" s="6"/>
    </row>
    <row r="1041" spans="4:4" x14ac:dyDescent="0.25">
      <c r="D1041" s="6"/>
    </row>
    <row r="1042" spans="4:4" x14ac:dyDescent="0.25">
      <c r="D1042" s="6"/>
    </row>
    <row r="1043" spans="4:4" x14ac:dyDescent="0.25">
      <c r="D1043" s="6"/>
    </row>
    <row r="1044" spans="4:4" x14ac:dyDescent="0.25">
      <c r="D1044" s="6"/>
    </row>
    <row r="1045" spans="4:4" x14ac:dyDescent="0.25">
      <c r="D1045" s="6"/>
    </row>
    <row r="1046" spans="4:4" x14ac:dyDescent="0.25">
      <c r="D1046" s="6"/>
    </row>
    <row r="1047" spans="4:4" x14ac:dyDescent="0.25">
      <c r="D1047" s="6"/>
    </row>
    <row r="1048" spans="4:4" x14ac:dyDescent="0.25">
      <c r="D1048" s="6"/>
    </row>
    <row r="1049" spans="4:4" x14ac:dyDescent="0.25">
      <c r="D1049" s="6"/>
    </row>
    <row r="1050" spans="4:4" x14ac:dyDescent="0.25">
      <c r="D1050" s="6"/>
    </row>
    <row r="1051" spans="4:4" x14ac:dyDescent="0.25">
      <c r="D1051" s="6"/>
    </row>
    <row r="1052" spans="4:4" x14ac:dyDescent="0.25">
      <c r="D1052" s="6"/>
    </row>
    <row r="1053" spans="4:4" x14ac:dyDescent="0.25">
      <c r="D1053" s="6"/>
    </row>
    <row r="1054" spans="4:4" x14ac:dyDescent="0.25">
      <c r="D1054" s="6"/>
    </row>
    <row r="1055" spans="4:4" x14ac:dyDescent="0.25">
      <c r="D1055" s="6"/>
    </row>
    <row r="1056" spans="4:4" x14ac:dyDescent="0.25">
      <c r="D1056" s="6"/>
    </row>
    <row r="1057" spans="4:4" x14ac:dyDescent="0.25">
      <c r="D1057" s="6"/>
    </row>
    <row r="1058" spans="4:4" x14ac:dyDescent="0.25">
      <c r="D1058" s="6"/>
    </row>
    <row r="1059" spans="4:4" x14ac:dyDescent="0.25">
      <c r="D1059" s="6"/>
    </row>
    <row r="1060" spans="4:4" x14ac:dyDescent="0.25">
      <c r="D1060" s="6"/>
    </row>
    <row r="1061" spans="4:4" x14ac:dyDescent="0.25">
      <c r="D1061" s="6"/>
    </row>
    <row r="1062" spans="4:4" x14ac:dyDescent="0.25">
      <c r="D1062" s="6"/>
    </row>
    <row r="1063" spans="4:4" x14ac:dyDescent="0.25">
      <c r="D1063" s="6"/>
    </row>
    <row r="1064" spans="4:4" x14ac:dyDescent="0.25">
      <c r="D1064" s="6"/>
    </row>
    <row r="1065" spans="4:4" x14ac:dyDescent="0.25">
      <c r="D1065" s="6"/>
    </row>
    <row r="1066" spans="4:4" x14ac:dyDescent="0.25">
      <c r="D1066" s="6"/>
    </row>
    <row r="1067" spans="4:4" x14ac:dyDescent="0.25">
      <c r="D1067" s="6"/>
    </row>
    <row r="1068" spans="4:4" x14ac:dyDescent="0.25">
      <c r="D1068" s="6"/>
    </row>
    <row r="1069" spans="4:4" x14ac:dyDescent="0.25">
      <c r="D1069" s="6"/>
    </row>
    <row r="1070" spans="4:4" x14ac:dyDescent="0.25">
      <c r="D1070" s="6"/>
    </row>
    <row r="1071" spans="4:4" x14ac:dyDescent="0.25">
      <c r="D1071" s="6"/>
    </row>
    <row r="1072" spans="4:4" x14ac:dyDescent="0.25">
      <c r="D1072" s="6"/>
    </row>
    <row r="1073" spans="4:4" x14ac:dyDescent="0.25">
      <c r="D1073" s="6"/>
    </row>
    <row r="1074" spans="4:4" x14ac:dyDescent="0.25">
      <c r="D1074" s="6"/>
    </row>
    <row r="1075" spans="4:4" x14ac:dyDescent="0.25">
      <c r="D1075" s="6"/>
    </row>
    <row r="1076" spans="4:4" x14ac:dyDescent="0.25">
      <c r="D1076" s="6"/>
    </row>
    <row r="1077" spans="4:4" x14ac:dyDescent="0.25">
      <c r="D1077" s="6"/>
    </row>
    <row r="1078" spans="4:4" x14ac:dyDescent="0.25">
      <c r="D1078" s="6"/>
    </row>
    <row r="1079" spans="4:4" x14ac:dyDescent="0.25">
      <c r="D1079" s="6"/>
    </row>
    <row r="1080" spans="4:4" x14ac:dyDescent="0.25">
      <c r="D1080" s="6"/>
    </row>
    <row r="1081" spans="4:4" x14ac:dyDescent="0.25">
      <c r="D1081" s="6"/>
    </row>
    <row r="1082" spans="4:4" x14ac:dyDescent="0.25">
      <c r="D1082" s="6"/>
    </row>
    <row r="1083" spans="4:4" x14ac:dyDescent="0.25">
      <c r="D1083" s="6"/>
    </row>
    <row r="1084" spans="4:4" x14ac:dyDescent="0.25">
      <c r="D1084" s="6"/>
    </row>
    <row r="1085" spans="4:4" x14ac:dyDescent="0.25">
      <c r="D1085" s="6"/>
    </row>
    <row r="1086" spans="4:4" x14ac:dyDescent="0.25">
      <c r="D1086" s="6"/>
    </row>
    <row r="1087" spans="4:4" x14ac:dyDescent="0.25">
      <c r="D1087" s="6"/>
    </row>
    <row r="1088" spans="4:4" x14ac:dyDescent="0.25">
      <c r="D1088" s="6"/>
    </row>
    <row r="1089" spans="4:4" x14ac:dyDescent="0.25">
      <c r="D1089" s="6"/>
    </row>
    <row r="1090" spans="4:4" x14ac:dyDescent="0.25">
      <c r="D1090" s="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DB0F1-928F-4BEB-A0BF-EB8524917B95}">
  <sheetPr codeName="Sheet3">
    <tabColor theme="8" tint="0.79998168889431442"/>
  </sheetPr>
  <dimension ref="A1:J1096"/>
  <sheetViews>
    <sheetView topLeftCell="A76" workbookViewId="0">
      <selection activeCell="C98" sqref="C98:D98"/>
    </sheetView>
  </sheetViews>
  <sheetFormatPr defaultRowHeight="15" x14ac:dyDescent="0.25"/>
  <cols>
    <col min="2" max="7" width="19.7109375" customWidth="1"/>
    <col min="8" max="8" width="20.5703125" customWidth="1"/>
    <col min="9" max="9" width="22.140625" customWidth="1"/>
    <col min="10" max="10" width="19.7109375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24</v>
      </c>
      <c r="F1" s="14" t="s">
        <v>4</v>
      </c>
      <c r="G1" s="14" t="s">
        <v>5</v>
      </c>
      <c r="H1" s="14" t="s">
        <v>6</v>
      </c>
      <c r="I1" s="14" t="s">
        <v>7</v>
      </c>
      <c r="J1" s="14" t="s">
        <v>8</v>
      </c>
    </row>
    <row r="2" spans="1:10" x14ac:dyDescent="0.25">
      <c r="A2">
        <v>21791</v>
      </c>
      <c r="B2">
        <v>5.4366000000000003</v>
      </c>
      <c r="C2">
        <v>5.4371999999999998</v>
      </c>
      <c r="D2" s="13">
        <v>46024.544131944444</v>
      </c>
      <c r="E2" t="s">
        <v>17</v>
      </c>
      <c r="F2">
        <v>0</v>
      </c>
      <c r="G2">
        <v>0</v>
      </c>
      <c r="H2">
        <v>0</v>
      </c>
      <c r="I2">
        <v>0</v>
      </c>
      <c r="J2" t="s">
        <v>14</v>
      </c>
    </row>
    <row r="3" spans="1:10" x14ac:dyDescent="0.25">
      <c r="A3">
        <v>21792</v>
      </c>
      <c r="B3">
        <v>5.4344999999999999</v>
      </c>
      <c r="C3">
        <v>5.4351000000000003</v>
      </c>
      <c r="D3" s="13">
        <v>46027.548784722225</v>
      </c>
      <c r="E3" t="s">
        <v>17</v>
      </c>
      <c r="F3">
        <v>0</v>
      </c>
      <c r="G3">
        <v>0</v>
      </c>
      <c r="H3">
        <v>-0.04</v>
      </c>
      <c r="I3">
        <v>-0.04</v>
      </c>
      <c r="J3" t="s">
        <v>14</v>
      </c>
    </row>
    <row r="4" spans="1:10" x14ac:dyDescent="0.25">
      <c r="A4">
        <v>21793</v>
      </c>
      <c r="B4">
        <v>5.3791000000000002</v>
      </c>
      <c r="C4">
        <v>5.3796999999999997</v>
      </c>
      <c r="D4" s="13">
        <v>46028.550081018519</v>
      </c>
      <c r="E4" t="s">
        <v>17</v>
      </c>
      <c r="F4">
        <v>-0.06</v>
      </c>
      <c r="G4">
        <v>-0.06</v>
      </c>
      <c r="H4">
        <v>-1.02</v>
      </c>
      <c r="I4">
        <v>-1.02</v>
      </c>
      <c r="J4" t="s">
        <v>14</v>
      </c>
    </row>
    <row r="5" spans="1:10" x14ac:dyDescent="0.25">
      <c r="A5">
        <v>21794</v>
      </c>
      <c r="B5">
        <v>5.3874000000000004</v>
      </c>
      <c r="C5">
        <v>5.3879999999999999</v>
      </c>
      <c r="D5" s="13">
        <v>46029.54614583333</v>
      </c>
      <c r="E5" t="s">
        <v>17</v>
      </c>
      <c r="F5">
        <v>0.01</v>
      </c>
      <c r="G5">
        <v>0.01</v>
      </c>
      <c r="H5">
        <v>0.15</v>
      </c>
      <c r="I5">
        <v>0.15</v>
      </c>
      <c r="J5" t="s">
        <v>14</v>
      </c>
    </row>
    <row r="6" spans="1:10" x14ac:dyDescent="0.25">
      <c r="A6">
        <v>21795</v>
      </c>
      <c r="B6">
        <v>5.3853999999999997</v>
      </c>
      <c r="C6">
        <v>5.3860000000000001</v>
      </c>
      <c r="D6" s="13">
        <v>46030.54478009259</v>
      </c>
      <c r="E6" t="s">
        <v>17</v>
      </c>
      <c r="F6">
        <v>0</v>
      </c>
      <c r="G6">
        <v>0</v>
      </c>
      <c r="H6">
        <v>-0.04</v>
      </c>
      <c r="I6">
        <v>-0.04</v>
      </c>
      <c r="J6" t="s">
        <v>14</v>
      </c>
    </row>
    <row r="7" spans="1:10" x14ac:dyDescent="0.25">
      <c r="A7">
        <v>21796</v>
      </c>
      <c r="B7">
        <v>5.3700999999999999</v>
      </c>
      <c r="C7">
        <v>5.3707000000000003</v>
      </c>
      <c r="D7" s="13">
        <v>46031.548252314817</v>
      </c>
      <c r="E7" t="s">
        <v>17</v>
      </c>
      <c r="F7">
        <v>-0.02</v>
      </c>
      <c r="G7">
        <v>-0.02</v>
      </c>
      <c r="H7">
        <v>-0.28000000000000003</v>
      </c>
      <c r="I7">
        <v>-0.28000000000000003</v>
      </c>
      <c r="J7" t="s">
        <v>14</v>
      </c>
    </row>
    <row r="8" spans="1:10" x14ac:dyDescent="0.25">
      <c r="A8">
        <v>21797</v>
      </c>
      <c r="B8">
        <v>5.3754</v>
      </c>
      <c r="C8">
        <v>5.3760000000000003</v>
      </c>
      <c r="D8" s="13">
        <v>46034.54755787037</v>
      </c>
      <c r="E8" t="s">
        <v>17</v>
      </c>
      <c r="F8">
        <v>0.01</v>
      </c>
      <c r="G8">
        <v>0.01</v>
      </c>
      <c r="H8">
        <v>0.1</v>
      </c>
      <c r="I8">
        <v>0.1</v>
      </c>
      <c r="J8" t="s">
        <v>14</v>
      </c>
    </row>
    <row r="9" spans="1:10" x14ac:dyDescent="0.25">
      <c r="A9">
        <v>21798</v>
      </c>
      <c r="B9">
        <v>5.3757999999999999</v>
      </c>
      <c r="C9">
        <v>5.3764000000000003</v>
      </c>
      <c r="D9" s="13">
        <v>46035.547847222224</v>
      </c>
      <c r="E9" t="s">
        <v>17</v>
      </c>
      <c r="F9">
        <v>0</v>
      </c>
      <c r="G9">
        <v>0</v>
      </c>
      <c r="H9">
        <v>0.01</v>
      </c>
      <c r="I9">
        <v>0.01</v>
      </c>
      <c r="J9" t="s">
        <v>14</v>
      </c>
    </row>
    <row r="10" spans="1:10" x14ac:dyDescent="0.25">
      <c r="A10">
        <v>21799</v>
      </c>
      <c r="B10">
        <v>5.3788999999999998</v>
      </c>
      <c r="C10">
        <v>5.3795000000000002</v>
      </c>
      <c r="D10" s="13">
        <v>46036.544814814813</v>
      </c>
      <c r="E10" t="s">
        <v>17</v>
      </c>
      <c r="F10">
        <v>0</v>
      </c>
      <c r="G10">
        <v>0</v>
      </c>
      <c r="H10">
        <v>0.06</v>
      </c>
      <c r="I10">
        <v>0.06</v>
      </c>
      <c r="J10" t="s">
        <v>14</v>
      </c>
    </row>
    <row r="11" spans="1:10" x14ac:dyDescent="0.25">
      <c r="A11">
        <v>21800</v>
      </c>
      <c r="B11">
        <v>5.3840000000000003</v>
      </c>
      <c r="C11">
        <v>5.3845999999999998</v>
      </c>
      <c r="D11" s="13">
        <v>46037.545439814814</v>
      </c>
      <c r="E11" t="s">
        <v>17</v>
      </c>
      <c r="F11">
        <v>0.01</v>
      </c>
      <c r="G11">
        <v>0.01</v>
      </c>
      <c r="H11">
        <v>0.09</v>
      </c>
      <c r="I11">
        <v>0.09</v>
      </c>
      <c r="J11" t="s">
        <v>14</v>
      </c>
    </row>
    <row r="12" spans="1:10" x14ac:dyDescent="0.25">
      <c r="A12">
        <v>21801</v>
      </c>
      <c r="B12">
        <v>5.3792</v>
      </c>
      <c r="C12">
        <v>5.3798000000000004</v>
      </c>
      <c r="D12" s="13">
        <v>46038.544745370367</v>
      </c>
      <c r="E12" t="s">
        <v>17</v>
      </c>
      <c r="F12">
        <v>0</v>
      </c>
      <c r="G12">
        <v>0</v>
      </c>
      <c r="H12">
        <v>-0.09</v>
      </c>
      <c r="I12">
        <v>-0.09</v>
      </c>
      <c r="J12" t="s">
        <v>14</v>
      </c>
    </row>
    <row r="13" spans="1:10" x14ac:dyDescent="0.25">
      <c r="A13">
        <v>21802</v>
      </c>
      <c r="B13">
        <v>5.3647</v>
      </c>
      <c r="C13">
        <v>5.3653000000000004</v>
      </c>
      <c r="D13" s="13">
        <v>46041.546851851854</v>
      </c>
      <c r="E13" t="s">
        <v>17</v>
      </c>
      <c r="F13">
        <v>-0.01</v>
      </c>
      <c r="G13">
        <v>-0.01</v>
      </c>
      <c r="H13">
        <v>-0.27</v>
      </c>
      <c r="I13">
        <v>-0.27</v>
      </c>
      <c r="J13" t="s">
        <v>14</v>
      </c>
    </row>
    <row r="14" spans="1:10" x14ac:dyDescent="0.25">
      <c r="A14">
        <v>21803</v>
      </c>
      <c r="B14">
        <v>5.3784000000000001</v>
      </c>
      <c r="C14">
        <v>5.3789999999999996</v>
      </c>
      <c r="D14" s="13">
        <v>46042.543414351851</v>
      </c>
      <c r="E14" t="s">
        <v>17</v>
      </c>
      <c r="F14">
        <v>0.01</v>
      </c>
      <c r="G14">
        <v>0.01</v>
      </c>
      <c r="H14">
        <v>0.26</v>
      </c>
      <c r="I14">
        <v>0.26</v>
      </c>
      <c r="J14" t="s">
        <v>14</v>
      </c>
    </row>
    <row r="15" spans="1:10" x14ac:dyDescent="0.25">
      <c r="A15">
        <v>21804</v>
      </c>
      <c r="B15">
        <v>5.3361999999999998</v>
      </c>
      <c r="C15">
        <v>5.3368000000000002</v>
      </c>
      <c r="D15" s="13">
        <v>46043.54482638889</v>
      </c>
      <c r="E15" t="s">
        <v>17</v>
      </c>
      <c r="F15">
        <v>-0.04</v>
      </c>
      <c r="G15">
        <v>-0.04</v>
      </c>
      <c r="H15">
        <v>-0.78</v>
      </c>
      <c r="I15">
        <v>-0.78</v>
      </c>
      <c r="J15" t="s">
        <v>14</v>
      </c>
    </row>
    <row r="16" spans="1:10" x14ac:dyDescent="0.25">
      <c r="A16">
        <v>21805</v>
      </c>
      <c r="B16">
        <v>5.3112000000000004</v>
      </c>
      <c r="C16">
        <v>5.3117999999999999</v>
      </c>
      <c r="D16" s="13">
        <v>46044.5468287037</v>
      </c>
      <c r="E16" t="s">
        <v>17</v>
      </c>
      <c r="F16">
        <v>-0.03</v>
      </c>
      <c r="G16">
        <v>-0.02</v>
      </c>
      <c r="H16">
        <v>-0.47</v>
      </c>
      <c r="I16">
        <v>-0.47</v>
      </c>
      <c r="J16" t="s">
        <v>14</v>
      </c>
    </row>
    <row r="17" spans="1:10" x14ac:dyDescent="0.25">
      <c r="A17">
        <v>21806</v>
      </c>
      <c r="B17">
        <v>5.2872000000000003</v>
      </c>
      <c r="C17">
        <v>5.2878999999999996</v>
      </c>
      <c r="D17" s="13">
        <v>46045.548217592594</v>
      </c>
      <c r="E17" t="s">
        <v>17</v>
      </c>
      <c r="F17">
        <v>-0.02</v>
      </c>
      <c r="G17">
        <v>-0.02</v>
      </c>
      <c r="H17">
        <v>-0.45</v>
      </c>
      <c r="I17">
        <v>-0.45</v>
      </c>
      <c r="J17" t="s">
        <v>14</v>
      </c>
    </row>
    <row r="18" spans="1:10" x14ac:dyDescent="0.25">
      <c r="A18">
        <v>21807</v>
      </c>
      <c r="B18">
        <v>5.2754000000000003</v>
      </c>
      <c r="C18">
        <v>5.2759999999999998</v>
      </c>
      <c r="D18" s="13">
        <v>46048.547951388886</v>
      </c>
      <c r="E18" t="s">
        <v>17</v>
      </c>
      <c r="F18">
        <v>-0.01</v>
      </c>
      <c r="G18">
        <v>-0.01</v>
      </c>
      <c r="H18">
        <v>-0.23</v>
      </c>
      <c r="I18">
        <v>-0.22</v>
      </c>
      <c r="J18" t="s">
        <v>14</v>
      </c>
    </row>
    <row r="19" spans="1:10" x14ac:dyDescent="0.25">
      <c r="A19">
        <v>21808</v>
      </c>
      <c r="B19">
        <v>5.2385999999999999</v>
      </c>
      <c r="C19">
        <v>5.2392000000000003</v>
      </c>
      <c r="D19" s="13">
        <v>46049.547523148147</v>
      </c>
      <c r="E19" t="s">
        <v>17</v>
      </c>
      <c r="F19">
        <v>-0.04</v>
      </c>
      <c r="G19">
        <v>-0.04</v>
      </c>
      <c r="H19">
        <v>-0.7</v>
      </c>
      <c r="I19">
        <v>-0.7</v>
      </c>
      <c r="J19" t="s">
        <v>14</v>
      </c>
    </row>
    <row r="20" spans="1:10" x14ac:dyDescent="0.25">
      <c r="A20">
        <v>21809</v>
      </c>
      <c r="B20">
        <v>5.1832000000000003</v>
      </c>
      <c r="C20">
        <v>5.1837999999999997</v>
      </c>
      <c r="D20" s="13">
        <v>46050.54892361111</v>
      </c>
      <c r="E20" t="s">
        <v>17</v>
      </c>
      <c r="F20">
        <v>-0.06</v>
      </c>
      <c r="G20">
        <v>-0.06</v>
      </c>
      <c r="H20">
        <v>-1.06</v>
      </c>
      <c r="I20">
        <v>-1.06</v>
      </c>
      <c r="J20" t="s">
        <v>14</v>
      </c>
    </row>
    <row r="21" spans="1:10" x14ac:dyDescent="0.25">
      <c r="A21">
        <v>21810</v>
      </c>
      <c r="B21">
        <v>5.1950000000000003</v>
      </c>
      <c r="C21">
        <v>5.1955999999999998</v>
      </c>
      <c r="D21" s="13">
        <v>46051.547488425924</v>
      </c>
      <c r="E21" t="s">
        <v>17</v>
      </c>
      <c r="F21">
        <v>0.01</v>
      </c>
      <c r="G21">
        <v>0.01</v>
      </c>
      <c r="H21">
        <v>0.23</v>
      </c>
      <c r="I21">
        <v>0.23</v>
      </c>
      <c r="J21" t="s">
        <v>14</v>
      </c>
    </row>
    <row r="22" spans="1:10" x14ac:dyDescent="0.25">
      <c r="A22">
        <v>21811</v>
      </c>
      <c r="B22">
        <v>5.2294999999999998</v>
      </c>
      <c r="C22">
        <v>5.2301000000000002</v>
      </c>
      <c r="D22" s="13">
        <v>46052.545474537037</v>
      </c>
      <c r="E22" t="s">
        <v>17</v>
      </c>
      <c r="F22">
        <v>0.03</v>
      </c>
      <c r="G22">
        <v>0.03</v>
      </c>
      <c r="H22">
        <v>0.66</v>
      </c>
      <c r="I22">
        <v>0.66</v>
      </c>
      <c r="J22" t="s">
        <v>14</v>
      </c>
    </row>
    <row r="23" spans="1:10" x14ac:dyDescent="0.25">
      <c r="A23">
        <v>21812</v>
      </c>
      <c r="B23">
        <v>5.2580999999999998</v>
      </c>
      <c r="C23">
        <v>5.2587000000000002</v>
      </c>
      <c r="D23" s="13">
        <v>46055.546851851854</v>
      </c>
      <c r="E23" t="s">
        <v>18</v>
      </c>
      <c r="F23">
        <v>0.03</v>
      </c>
      <c r="G23">
        <v>0.03</v>
      </c>
      <c r="H23">
        <v>0.55000000000000004</v>
      </c>
      <c r="I23">
        <v>0.55000000000000004</v>
      </c>
      <c r="J23" t="s">
        <v>14</v>
      </c>
    </row>
    <row r="24" spans="1:10" x14ac:dyDescent="0.25">
      <c r="A24">
        <v>21813</v>
      </c>
      <c r="B24">
        <v>5.2229999999999999</v>
      </c>
      <c r="C24">
        <v>5.2236000000000002</v>
      </c>
      <c r="D24" s="13">
        <v>46056.549618055556</v>
      </c>
      <c r="E24" t="s">
        <v>18</v>
      </c>
      <c r="F24">
        <v>-0.04</v>
      </c>
      <c r="G24">
        <v>-0.04</v>
      </c>
      <c r="H24">
        <v>-0.67</v>
      </c>
      <c r="I24">
        <v>-0.67</v>
      </c>
      <c r="J24" t="s">
        <v>14</v>
      </c>
    </row>
    <row r="25" spans="1:10" x14ac:dyDescent="0.25">
      <c r="A25">
        <v>21814</v>
      </c>
      <c r="B25">
        <v>5.2352999999999996</v>
      </c>
      <c r="C25">
        <v>5.2359</v>
      </c>
      <c r="D25" s="13">
        <v>46057.548946759256</v>
      </c>
      <c r="E25" t="s">
        <v>18</v>
      </c>
      <c r="F25">
        <v>0.01</v>
      </c>
      <c r="G25">
        <v>0.01</v>
      </c>
      <c r="H25">
        <v>0.24</v>
      </c>
      <c r="I25">
        <v>0.24</v>
      </c>
      <c r="J25" t="s">
        <v>14</v>
      </c>
    </row>
    <row r="26" spans="1:10" x14ac:dyDescent="0.25">
      <c r="A26">
        <v>21815</v>
      </c>
      <c r="B26">
        <v>5.2573999999999996</v>
      </c>
      <c r="C26">
        <v>5.258</v>
      </c>
      <c r="D26" s="13">
        <v>46058.545474537037</v>
      </c>
      <c r="E26" t="s">
        <v>18</v>
      </c>
      <c r="F26">
        <v>0.02</v>
      </c>
      <c r="G26">
        <v>0.02</v>
      </c>
      <c r="H26">
        <v>0.42</v>
      </c>
      <c r="I26">
        <v>0.42</v>
      </c>
      <c r="J26" t="s">
        <v>14</v>
      </c>
    </row>
    <row r="27" spans="1:10" x14ac:dyDescent="0.25">
      <c r="A27">
        <v>21816</v>
      </c>
      <c r="B27">
        <v>5.2335000000000003</v>
      </c>
      <c r="C27">
        <v>5.2340999999999998</v>
      </c>
      <c r="D27" s="13">
        <v>46059.54892361111</v>
      </c>
      <c r="E27" t="s">
        <v>18</v>
      </c>
      <c r="F27">
        <v>-0.02</v>
      </c>
      <c r="G27">
        <v>-0.02</v>
      </c>
      <c r="H27">
        <v>-0.45</v>
      </c>
      <c r="I27">
        <v>-0.45</v>
      </c>
      <c r="J27" t="s">
        <v>14</v>
      </c>
    </row>
    <row r="28" spans="1:10" x14ac:dyDescent="0.25">
      <c r="A28">
        <v>21817</v>
      </c>
      <c r="B28">
        <v>5.1936999999999998</v>
      </c>
      <c r="C28">
        <v>5.1943000000000001</v>
      </c>
      <c r="D28" s="13">
        <v>46062.548229166663</v>
      </c>
      <c r="E28" t="s">
        <v>18</v>
      </c>
      <c r="F28">
        <v>-0.04</v>
      </c>
      <c r="G28">
        <v>-0.04</v>
      </c>
      <c r="H28">
        <v>-0.76</v>
      </c>
      <c r="I28">
        <v>-0.76</v>
      </c>
      <c r="J28" t="s">
        <v>14</v>
      </c>
    </row>
    <row r="29" spans="1:10" x14ac:dyDescent="0.25">
      <c r="A29">
        <v>21818</v>
      </c>
      <c r="B29">
        <v>5.2015000000000002</v>
      </c>
      <c r="C29">
        <v>5.2020999999999997</v>
      </c>
      <c r="D29" s="13">
        <v>46063.54892361111</v>
      </c>
      <c r="E29" t="s">
        <v>18</v>
      </c>
      <c r="F29">
        <v>0.01</v>
      </c>
      <c r="G29">
        <v>0.01</v>
      </c>
      <c r="H29">
        <v>0.15</v>
      </c>
      <c r="I29">
        <v>0.15</v>
      </c>
      <c r="J29" t="s">
        <v>14</v>
      </c>
    </row>
    <row r="30" spans="1:10" x14ac:dyDescent="0.25">
      <c r="A30">
        <v>21819</v>
      </c>
      <c r="B30">
        <v>5.1829999999999998</v>
      </c>
      <c r="C30">
        <v>5.1836000000000002</v>
      </c>
      <c r="D30" s="13">
        <v>46064.544074074074</v>
      </c>
      <c r="E30" t="s">
        <v>18</v>
      </c>
      <c r="F30">
        <v>-0.02</v>
      </c>
      <c r="G30">
        <v>-0.02</v>
      </c>
      <c r="H30">
        <v>-0.36</v>
      </c>
      <c r="I30">
        <v>-0.36</v>
      </c>
      <c r="J30" t="s">
        <v>14</v>
      </c>
    </row>
    <row r="31" spans="1:10" x14ac:dyDescent="0.25">
      <c r="A31">
        <v>21820</v>
      </c>
      <c r="B31">
        <v>5.1668000000000003</v>
      </c>
      <c r="C31">
        <v>5.1673999999999998</v>
      </c>
      <c r="D31" s="13">
        <v>46065.54488425926</v>
      </c>
      <c r="E31" t="s">
        <v>18</v>
      </c>
      <c r="F31">
        <v>-0.02</v>
      </c>
      <c r="G31">
        <v>-0.02</v>
      </c>
      <c r="H31">
        <v>-0.31</v>
      </c>
      <c r="I31">
        <v>-0.31</v>
      </c>
      <c r="J31" t="s">
        <v>14</v>
      </c>
    </row>
    <row r="32" spans="1:10" x14ac:dyDescent="0.25">
      <c r="A32">
        <v>21821</v>
      </c>
      <c r="B32">
        <v>5.2282000000000002</v>
      </c>
      <c r="C32">
        <v>5.2287999999999997</v>
      </c>
      <c r="D32" s="13">
        <v>46066.544768518521</v>
      </c>
      <c r="E32" t="s">
        <v>18</v>
      </c>
      <c r="F32">
        <v>0.06</v>
      </c>
      <c r="G32">
        <v>0.06</v>
      </c>
      <c r="H32">
        <v>1.19</v>
      </c>
      <c r="I32">
        <v>1.19</v>
      </c>
      <c r="J32" t="s">
        <v>14</v>
      </c>
    </row>
    <row r="33" spans="1:10" x14ac:dyDescent="0.25">
      <c r="A33">
        <v>21822</v>
      </c>
      <c r="B33">
        <v>5.2343000000000002</v>
      </c>
      <c r="C33">
        <v>5.2348999999999997</v>
      </c>
      <c r="D33" s="13">
        <v>46071.653113425928</v>
      </c>
      <c r="E33" t="s">
        <v>18</v>
      </c>
      <c r="F33">
        <v>0.01</v>
      </c>
      <c r="G33">
        <v>0.01</v>
      </c>
      <c r="H33">
        <v>0.12</v>
      </c>
      <c r="I33">
        <v>0.12</v>
      </c>
      <c r="J33" t="s">
        <v>14</v>
      </c>
    </row>
    <row r="34" spans="1:10" x14ac:dyDescent="0.25">
      <c r="A34">
        <v>21823</v>
      </c>
      <c r="B34">
        <v>5.2249999999999996</v>
      </c>
      <c r="C34">
        <v>5.2256999999999998</v>
      </c>
      <c r="D34" s="13">
        <v>46072.549618055556</v>
      </c>
      <c r="E34" t="s">
        <v>18</v>
      </c>
      <c r="F34">
        <v>-0.01</v>
      </c>
      <c r="G34">
        <v>-0.01</v>
      </c>
      <c r="H34">
        <v>-0.18</v>
      </c>
      <c r="I34">
        <v>-0.18</v>
      </c>
      <c r="J34" t="s">
        <v>14</v>
      </c>
    </row>
    <row r="35" spans="1:10" x14ac:dyDescent="0.25">
      <c r="A35">
        <v>21824</v>
      </c>
      <c r="B35">
        <v>5.2</v>
      </c>
      <c r="C35">
        <v>5.2005999999999997</v>
      </c>
      <c r="D35" s="13">
        <v>46073.543356481481</v>
      </c>
      <c r="E35" t="s">
        <v>18</v>
      </c>
      <c r="F35">
        <v>-0.03</v>
      </c>
      <c r="G35">
        <v>-0.02</v>
      </c>
      <c r="H35">
        <v>-0.48</v>
      </c>
      <c r="I35">
        <v>-0.48</v>
      </c>
      <c r="J35" t="s">
        <v>14</v>
      </c>
    </row>
    <row r="36" spans="1:10" x14ac:dyDescent="0.25">
      <c r="A36">
        <v>21825</v>
      </c>
      <c r="B36">
        <v>5.1628999999999996</v>
      </c>
      <c r="C36">
        <v>5.1635</v>
      </c>
      <c r="D36" s="13">
        <v>46076.543379629627</v>
      </c>
      <c r="E36" t="s">
        <v>18</v>
      </c>
      <c r="F36">
        <v>-0.04</v>
      </c>
      <c r="G36">
        <v>-0.04</v>
      </c>
      <c r="H36">
        <v>-0.71</v>
      </c>
      <c r="I36">
        <v>-0.71</v>
      </c>
      <c r="J36" t="s">
        <v>14</v>
      </c>
    </row>
    <row r="37" spans="1:10" x14ac:dyDescent="0.25">
      <c r="A37">
        <v>21826</v>
      </c>
      <c r="B37">
        <v>5.1676000000000002</v>
      </c>
      <c r="C37">
        <v>5.1681999999999997</v>
      </c>
      <c r="D37" s="13">
        <v>46077.54478009259</v>
      </c>
      <c r="E37" t="s">
        <v>18</v>
      </c>
      <c r="F37">
        <v>0</v>
      </c>
      <c r="G37">
        <v>0</v>
      </c>
      <c r="H37">
        <v>0.09</v>
      </c>
      <c r="I37">
        <v>0.09</v>
      </c>
      <c r="J37" t="s">
        <v>14</v>
      </c>
    </row>
    <row r="38" spans="1:10" x14ac:dyDescent="0.25">
      <c r="A38">
        <v>21827</v>
      </c>
      <c r="B38">
        <v>5.1433999999999997</v>
      </c>
      <c r="C38">
        <v>5.1440000000000001</v>
      </c>
      <c r="D38" s="13">
        <v>46078.54546296296</v>
      </c>
      <c r="E38" t="s">
        <v>18</v>
      </c>
      <c r="F38">
        <v>-0.02</v>
      </c>
      <c r="G38">
        <v>-0.02</v>
      </c>
      <c r="H38">
        <v>-0.47</v>
      </c>
      <c r="I38">
        <v>-0.47</v>
      </c>
      <c r="J38" t="s">
        <v>14</v>
      </c>
    </row>
    <row r="39" spans="1:10" x14ac:dyDescent="0.25">
      <c r="A39">
        <v>21828</v>
      </c>
      <c r="B39">
        <v>5.1375999999999999</v>
      </c>
      <c r="C39">
        <v>5.1382000000000003</v>
      </c>
      <c r="D39" s="13">
        <v>46079.546215277776</v>
      </c>
      <c r="E39" t="s">
        <v>18</v>
      </c>
      <c r="F39">
        <v>-0.01</v>
      </c>
      <c r="G39">
        <v>-0.01</v>
      </c>
      <c r="H39">
        <v>-0.11</v>
      </c>
      <c r="I39">
        <v>-0.11</v>
      </c>
      <c r="J39" t="s">
        <v>14</v>
      </c>
    </row>
    <row r="40" spans="1:10" x14ac:dyDescent="0.25">
      <c r="A40">
        <v>21829</v>
      </c>
      <c r="B40">
        <v>5.1489000000000003</v>
      </c>
      <c r="C40">
        <v>5.1494999999999997</v>
      </c>
      <c r="D40" s="13">
        <v>46080.543368055558</v>
      </c>
      <c r="E40" t="s">
        <v>18</v>
      </c>
      <c r="F40">
        <v>0.01</v>
      </c>
      <c r="G40">
        <v>0.01</v>
      </c>
      <c r="H40">
        <v>0.22</v>
      </c>
      <c r="I40">
        <v>0.22</v>
      </c>
      <c r="J40" t="s">
        <v>14</v>
      </c>
    </row>
    <row r="41" spans="1:10" x14ac:dyDescent="0.25">
      <c r="A41">
        <v>21830</v>
      </c>
      <c r="B41">
        <v>5.1994999999999996</v>
      </c>
      <c r="C41">
        <v>5.2000999999999999</v>
      </c>
      <c r="D41" s="13">
        <v>46083.548217592594</v>
      </c>
      <c r="E41" t="s">
        <v>19</v>
      </c>
      <c r="F41">
        <v>0.05</v>
      </c>
      <c r="G41">
        <v>0.05</v>
      </c>
      <c r="H41">
        <v>0.98</v>
      </c>
      <c r="I41">
        <v>0.98</v>
      </c>
      <c r="J41" t="s">
        <v>14</v>
      </c>
    </row>
    <row r="42" spans="1:10" x14ac:dyDescent="0.25">
      <c r="A42">
        <v>21831</v>
      </c>
      <c r="B42">
        <v>5.2864000000000004</v>
      </c>
      <c r="C42">
        <v>5.2869999999999999</v>
      </c>
      <c r="D42" s="13">
        <v>46084.548935185187</v>
      </c>
      <c r="E42" t="s">
        <v>19</v>
      </c>
      <c r="F42">
        <v>0.09</v>
      </c>
      <c r="G42">
        <v>0.09</v>
      </c>
      <c r="H42">
        <v>1.67</v>
      </c>
      <c r="I42">
        <v>1.67</v>
      </c>
      <c r="J42" t="s">
        <v>14</v>
      </c>
    </row>
    <row r="43" spans="1:10" x14ac:dyDescent="0.25">
      <c r="A43">
        <v>21832</v>
      </c>
      <c r="B43">
        <v>5.2084999999999999</v>
      </c>
      <c r="C43">
        <v>5.2091000000000003</v>
      </c>
      <c r="D43" s="13">
        <v>46085.546840277777</v>
      </c>
      <c r="E43" t="s">
        <v>19</v>
      </c>
      <c r="F43">
        <v>-0.08</v>
      </c>
      <c r="G43">
        <v>-0.08</v>
      </c>
      <c r="H43">
        <v>-1.47</v>
      </c>
      <c r="I43">
        <v>-1.47</v>
      </c>
      <c r="J43" t="s">
        <v>14</v>
      </c>
    </row>
    <row r="44" spans="1:10" x14ac:dyDescent="0.25">
      <c r="A44">
        <v>21833</v>
      </c>
      <c r="B44">
        <v>5.2441000000000004</v>
      </c>
      <c r="C44">
        <v>5.2446999999999999</v>
      </c>
      <c r="D44" s="13">
        <v>46086.54409722222</v>
      </c>
      <c r="E44" t="s">
        <v>19</v>
      </c>
      <c r="F44">
        <v>0.04</v>
      </c>
      <c r="G44">
        <v>0.04</v>
      </c>
      <c r="H44">
        <v>0.68</v>
      </c>
      <c r="I44">
        <v>0.68</v>
      </c>
      <c r="J44" t="s">
        <v>14</v>
      </c>
    </row>
    <row r="45" spans="1:10" x14ac:dyDescent="0.25">
      <c r="A45">
        <v>21834</v>
      </c>
      <c r="B45">
        <v>5.2872000000000003</v>
      </c>
      <c r="C45">
        <v>5.2877999999999998</v>
      </c>
      <c r="D45" s="13">
        <v>46087.548935185187</v>
      </c>
      <c r="E45" t="s">
        <v>19</v>
      </c>
      <c r="F45">
        <v>0.04</v>
      </c>
      <c r="G45">
        <v>0.04</v>
      </c>
      <c r="H45">
        <v>0.82</v>
      </c>
      <c r="I45">
        <v>0.82</v>
      </c>
      <c r="J45" t="s">
        <v>14</v>
      </c>
    </row>
    <row r="46" spans="1:10" x14ac:dyDescent="0.25">
      <c r="A46">
        <v>21835</v>
      </c>
      <c r="B46">
        <v>5.2133000000000003</v>
      </c>
      <c r="C46">
        <v>5.2138999999999998</v>
      </c>
      <c r="D46" s="13">
        <v>46090.548935185187</v>
      </c>
      <c r="E46" t="s">
        <v>19</v>
      </c>
      <c r="F46">
        <v>-7.0000000000000007E-2</v>
      </c>
      <c r="G46">
        <v>-7.0000000000000007E-2</v>
      </c>
      <c r="H46">
        <v>-1.4</v>
      </c>
      <c r="I46">
        <v>-1.4</v>
      </c>
      <c r="J46" t="s">
        <v>14</v>
      </c>
    </row>
    <row r="47" spans="1:10" x14ac:dyDescent="0.25">
      <c r="A47">
        <v>21836</v>
      </c>
      <c r="B47">
        <v>5.1616</v>
      </c>
      <c r="C47">
        <v>5.1622000000000003</v>
      </c>
      <c r="D47" s="13">
        <v>46091.548217592594</v>
      </c>
      <c r="E47" t="s">
        <v>19</v>
      </c>
      <c r="F47">
        <v>-0.05</v>
      </c>
      <c r="G47">
        <v>-0.05</v>
      </c>
      <c r="H47">
        <v>-0.99</v>
      </c>
      <c r="I47">
        <v>-0.99</v>
      </c>
      <c r="J47" t="s">
        <v>14</v>
      </c>
    </row>
    <row r="48" spans="1:10" x14ac:dyDescent="0.25">
      <c r="A48">
        <v>21837</v>
      </c>
      <c r="B48">
        <v>5.1589999999999998</v>
      </c>
      <c r="C48">
        <v>5.1596000000000002</v>
      </c>
      <c r="D48" s="13">
        <v>46092.544745370367</v>
      </c>
      <c r="E48" t="s">
        <v>19</v>
      </c>
      <c r="F48">
        <v>0</v>
      </c>
      <c r="G48">
        <v>0</v>
      </c>
      <c r="H48">
        <v>-0.05</v>
      </c>
      <c r="I48">
        <v>-0.05</v>
      </c>
      <c r="J48" t="s">
        <v>14</v>
      </c>
    </row>
    <row r="49" spans="1:10" x14ac:dyDescent="0.25">
      <c r="A49">
        <v>21838</v>
      </c>
      <c r="B49">
        <v>5.2045000000000003</v>
      </c>
      <c r="C49">
        <v>5.2050999999999998</v>
      </c>
      <c r="D49" s="13">
        <v>46093.548946759256</v>
      </c>
      <c r="E49" t="s">
        <v>19</v>
      </c>
      <c r="F49">
        <v>0.05</v>
      </c>
      <c r="G49">
        <v>0.05</v>
      </c>
      <c r="H49">
        <v>0.88</v>
      </c>
      <c r="I49">
        <v>0.88</v>
      </c>
      <c r="J49" t="s">
        <v>14</v>
      </c>
    </row>
    <row r="50" spans="1:10" x14ac:dyDescent="0.25">
      <c r="A50">
        <v>21839</v>
      </c>
      <c r="B50">
        <v>5.2534999999999998</v>
      </c>
      <c r="C50">
        <v>5.2541000000000002</v>
      </c>
      <c r="D50" s="13">
        <v>46094.544085648151</v>
      </c>
      <c r="E50" t="s">
        <v>19</v>
      </c>
      <c r="F50">
        <v>0.05</v>
      </c>
      <c r="G50">
        <v>0.05</v>
      </c>
      <c r="H50">
        <v>0.94</v>
      </c>
      <c r="I50">
        <v>0.94</v>
      </c>
      <c r="J50" t="s">
        <v>14</v>
      </c>
    </row>
    <row r="51" spans="1:10" x14ac:dyDescent="0.25">
      <c r="A51">
        <v>21840</v>
      </c>
      <c r="B51">
        <v>5.2641</v>
      </c>
      <c r="C51">
        <v>5.2647000000000004</v>
      </c>
      <c r="D51" s="13">
        <v>46097.547511574077</v>
      </c>
      <c r="E51" t="s">
        <v>19</v>
      </c>
      <c r="F51">
        <v>0.01</v>
      </c>
      <c r="G51">
        <v>0.01</v>
      </c>
      <c r="H51">
        <v>0.2</v>
      </c>
      <c r="I51">
        <v>0.2</v>
      </c>
      <c r="J51" t="s">
        <v>14</v>
      </c>
    </row>
    <row r="52" spans="1:10" x14ac:dyDescent="0.25">
      <c r="A52">
        <v>21841</v>
      </c>
      <c r="B52">
        <v>5.2016</v>
      </c>
      <c r="C52">
        <v>5.2022000000000004</v>
      </c>
      <c r="D52" s="13">
        <v>46098.548298611109</v>
      </c>
      <c r="E52" t="s">
        <v>19</v>
      </c>
      <c r="F52">
        <v>-0.06</v>
      </c>
      <c r="G52">
        <v>-0.06</v>
      </c>
      <c r="H52">
        <v>-1.19</v>
      </c>
      <c r="I52">
        <v>-1.19</v>
      </c>
      <c r="J52" t="s">
        <v>14</v>
      </c>
    </row>
    <row r="53" spans="1:10" x14ac:dyDescent="0.25">
      <c r="A53">
        <v>21842</v>
      </c>
      <c r="B53">
        <v>5.2106000000000003</v>
      </c>
      <c r="C53">
        <v>5.2111999999999998</v>
      </c>
      <c r="D53" s="13">
        <v>46099.54760416667</v>
      </c>
      <c r="E53" t="s">
        <v>19</v>
      </c>
      <c r="F53">
        <v>0.01</v>
      </c>
      <c r="G53">
        <v>0.01</v>
      </c>
      <c r="H53">
        <v>0.17</v>
      </c>
      <c r="I53">
        <v>0.17</v>
      </c>
      <c r="J53" t="s">
        <v>14</v>
      </c>
    </row>
    <row r="54" spans="1:10" x14ac:dyDescent="0.25">
      <c r="A54">
        <v>21843</v>
      </c>
      <c r="B54">
        <v>5.2580999999999998</v>
      </c>
      <c r="C54">
        <v>5.2587000000000002</v>
      </c>
      <c r="D54" s="13">
        <v>46100.543368055558</v>
      </c>
      <c r="E54" t="s">
        <v>19</v>
      </c>
      <c r="F54">
        <v>0.05</v>
      </c>
      <c r="G54">
        <v>0.05</v>
      </c>
      <c r="H54">
        <v>0.91</v>
      </c>
      <c r="I54">
        <v>0.91</v>
      </c>
      <c r="J54" t="s">
        <v>14</v>
      </c>
    </row>
    <row r="55" spans="1:10" x14ac:dyDescent="0.25">
      <c r="A55">
        <v>21844</v>
      </c>
      <c r="B55">
        <v>5.2793000000000001</v>
      </c>
      <c r="C55">
        <v>5.28</v>
      </c>
      <c r="D55" s="13">
        <v>46101.549629629626</v>
      </c>
      <c r="E55" t="s">
        <v>19</v>
      </c>
      <c r="F55">
        <v>0.02</v>
      </c>
      <c r="G55">
        <v>0.02</v>
      </c>
      <c r="H55">
        <v>0.41</v>
      </c>
      <c r="I55">
        <v>0.4</v>
      </c>
      <c r="J55" t="s">
        <v>14</v>
      </c>
    </row>
    <row r="56" spans="1:10" x14ac:dyDescent="0.25">
      <c r="A56">
        <v>21845</v>
      </c>
      <c r="B56">
        <v>5.2434000000000003</v>
      </c>
      <c r="C56">
        <v>5.2439999999999998</v>
      </c>
      <c r="D56" s="13">
        <v>46104.549629629626</v>
      </c>
      <c r="E56" t="s">
        <v>19</v>
      </c>
      <c r="F56">
        <v>-0.04</v>
      </c>
      <c r="G56">
        <v>-0.04</v>
      </c>
      <c r="H56">
        <v>-0.68</v>
      </c>
      <c r="I56">
        <v>-0.68</v>
      </c>
      <c r="J56" t="s">
        <v>14</v>
      </c>
    </row>
    <row r="57" spans="1:10" x14ac:dyDescent="0.25">
      <c r="A57">
        <v>21846</v>
      </c>
      <c r="B57">
        <v>5.2592999999999996</v>
      </c>
      <c r="C57">
        <v>5.2599</v>
      </c>
      <c r="D57" s="13">
        <v>46105.548252314817</v>
      </c>
      <c r="E57" t="s">
        <v>19</v>
      </c>
      <c r="F57">
        <v>0.02</v>
      </c>
      <c r="G57">
        <v>0.02</v>
      </c>
      <c r="H57">
        <v>0.3</v>
      </c>
      <c r="I57">
        <v>0.3</v>
      </c>
      <c r="J57" t="s">
        <v>14</v>
      </c>
    </row>
    <row r="58" spans="1:10" x14ac:dyDescent="0.25">
      <c r="A58">
        <v>21847</v>
      </c>
      <c r="B58">
        <v>5.2268999999999997</v>
      </c>
      <c r="C58">
        <v>5.2275</v>
      </c>
      <c r="D58" s="13">
        <v>46106.547615740739</v>
      </c>
      <c r="E58" t="s">
        <v>19</v>
      </c>
      <c r="F58">
        <v>-0.03</v>
      </c>
      <c r="G58">
        <v>-0.03</v>
      </c>
      <c r="H58">
        <v>-0.62</v>
      </c>
      <c r="I58">
        <v>-0.62</v>
      </c>
      <c r="J58" t="s">
        <v>14</v>
      </c>
    </row>
    <row r="59" spans="1:10" x14ac:dyDescent="0.25">
      <c r="A59">
        <v>21848</v>
      </c>
      <c r="B59">
        <v>5.2302</v>
      </c>
      <c r="C59">
        <v>5.2308000000000003</v>
      </c>
      <c r="D59" s="13">
        <v>46107.549409722225</v>
      </c>
      <c r="E59" t="s">
        <v>19</v>
      </c>
      <c r="F59">
        <v>0</v>
      </c>
      <c r="G59">
        <v>0</v>
      </c>
      <c r="H59">
        <v>0.06</v>
      </c>
      <c r="I59">
        <v>0.06</v>
      </c>
      <c r="J59" t="s">
        <v>14</v>
      </c>
    </row>
    <row r="60" spans="1:10" x14ac:dyDescent="0.25">
      <c r="A60">
        <v>21849</v>
      </c>
      <c r="B60">
        <v>5.2370000000000001</v>
      </c>
      <c r="C60">
        <v>5.2375999999999996</v>
      </c>
      <c r="D60" s="13">
        <v>46108.549791666665</v>
      </c>
      <c r="E60" t="s">
        <v>19</v>
      </c>
      <c r="F60">
        <v>0.01</v>
      </c>
      <c r="G60">
        <v>0.01</v>
      </c>
      <c r="H60">
        <v>0.13</v>
      </c>
      <c r="I60">
        <v>0.13</v>
      </c>
      <c r="J60" t="s">
        <v>14</v>
      </c>
    </row>
    <row r="61" spans="1:10" x14ac:dyDescent="0.25">
      <c r="A61">
        <v>21850</v>
      </c>
      <c r="B61">
        <v>5.2347000000000001</v>
      </c>
      <c r="C61">
        <v>5.2352999999999996</v>
      </c>
      <c r="D61" s="13">
        <v>46111.548935185187</v>
      </c>
      <c r="E61" t="s">
        <v>19</v>
      </c>
      <c r="F61">
        <v>0</v>
      </c>
      <c r="G61">
        <v>0</v>
      </c>
      <c r="H61">
        <v>-0.04</v>
      </c>
      <c r="I61">
        <v>-0.04</v>
      </c>
      <c r="J61" t="s">
        <v>14</v>
      </c>
    </row>
    <row r="62" spans="1:10" x14ac:dyDescent="0.25">
      <c r="A62">
        <v>21851</v>
      </c>
      <c r="B62">
        <v>5.2187999999999999</v>
      </c>
      <c r="C62">
        <v>5.2194000000000003</v>
      </c>
      <c r="D62" s="13">
        <v>46112.544710648152</v>
      </c>
      <c r="E62" t="s">
        <v>19</v>
      </c>
      <c r="F62">
        <v>-0.02</v>
      </c>
      <c r="G62">
        <v>-0.02</v>
      </c>
      <c r="H62">
        <v>-0.3</v>
      </c>
      <c r="I62">
        <v>-0.3</v>
      </c>
      <c r="J62" t="s">
        <v>14</v>
      </c>
    </row>
    <row r="63" spans="1:10" x14ac:dyDescent="0.25">
      <c r="A63">
        <v>21852</v>
      </c>
      <c r="B63">
        <v>5.16</v>
      </c>
      <c r="C63">
        <v>5.1605999999999996</v>
      </c>
      <c r="D63" s="13">
        <v>46113.546157407407</v>
      </c>
      <c r="E63" t="s">
        <v>20</v>
      </c>
      <c r="F63">
        <v>-0.06</v>
      </c>
      <c r="G63">
        <v>-0.06</v>
      </c>
      <c r="H63">
        <v>-1.1299999999999999</v>
      </c>
      <c r="I63">
        <v>-1.1299999999999999</v>
      </c>
      <c r="J63" t="s">
        <v>14</v>
      </c>
    </row>
    <row r="64" spans="1:10" x14ac:dyDescent="0.25">
      <c r="A64">
        <v>21853</v>
      </c>
      <c r="B64">
        <v>5.1649000000000003</v>
      </c>
      <c r="C64">
        <v>5.1654999999999998</v>
      </c>
      <c r="D64" s="13">
        <v>46114.54892361111</v>
      </c>
      <c r="E64" t="s">
        <v>20</v>
      </c>
      <c r="F64">
        <v>0</v>
      </c>
      <c r="G64">
        <v>0</v>
      </c>
      <c r="H64">
        <v>0.09</v>
      </c>
      <c r="I64">
        <v>0.09</v>
      </c>
      <c r="J64" t="s">
        <v>14</v>
      </c>
    </row>
    <row r="65" spans="1:10" x14ac:dyDescent="0.25">
      <c r="A65">
        <v>21854</v>
      </c>
      <c r="B65">
        <v>5.1525999999999996</v>
      </c>
      <c r="C65">
        <v>5.1532</v>
      </c>
      <c r="D65" s="13">
        <v>46118.546122685184</v>
      </c>
      <c r="E65" t="s">
        <v>20</v>
      </c>
      <c r="F65">
        <v>-0.01</v>
      </c>
      <c r="G65">
        <v>-0.01</v>
      </c>
      <c r="H65">
        <v>-0.24</v>
      </c>
      <c r="I65">
        <v>-0.24</v>
      </c>
      <c r="J65" t="s">
        <v>14</v>
      </c>
    </row>
    <row r="66" spans="1:10" x14ac:dyDescent="0.25">
      <c r="A66">
        <v>21855</v>
      </c>
      <c r="B66">
        <v>5.1619000000000002</v>
      </c>
      <c r="C66">
        <v>5.1624999999999996</v>
      </c>
      <c r="D66" s="13">
        <v>46119.547523148147</v>
      </c>
      <c r="E66" t="s">
        <v>20</v>
      </c>
      <c r="F66">
        <v>0.01</v>
      </c>
      <c r="G66">
        <v>0.01</v>
      </c>
      <c r="H66">
        <v>0.18</v>
      </c>
      <c r="I66">
        <v>0.18</v>
      </c>
      <c r="J66" t="s">
        <v>14</v>
      </c>
    </row>
    <row r="67" spans="1:10" x14ac:dyDescent="0.25">
      <c r="A67">
        <v>21856</v>
      </c>
      <c r="B67">
        <v>5.0892999999999997</v>
      </c>
      <c r="C67">
        <v>5.0899000000000001</v>
      </c>
      <c r="D67" s="13">
        <v>46120.543391203704</v>
      </c>
      <c r="E67" t="s">
        <v>20</v>
      </c>
      <c r="F67">
        <v>-7.0000000000000007E-2</v>
      </c>
      <c r="G67">
        <v>-7.0000000000000007E-2</v>
      </c>
      <c r="H67">
        <v>-1.41</v>
      </c>
      <c r="I67">
        <v>-1.41</v>
      </c>
      <c r="J67" t="s">
        <v>14</v>
      </c>
    </row>
    <row r="68" spans="1:10" x14ac:dyDescent="0.25">
      <c r="A68">
        <v>21857</v>
      </c>
      <c r="B68">
        <v>5.0815000000000001</v>
      </c>
      <c r="C68">
        <v>5.0820999999999996</v>
      </c>
      <c r="D68" s="13">
        <v>46121.548958333333</v>
      </c>
      <c r="E68" t="s">
        <v>20</v>
      </c>
      <c r="F68">
        <v>-0.01</v>
      </c>
      <c r="G68">
        <v>-0.01</v>
      </c>
      <c r="H68">
        <v>-0.15</v>
      </c>
      <c r="I68">
        <v>-0.15</v>
      </c>
      <c r="J68" t="s">
        <v>14</v>
      </c>
    </row>
    <row r="69" spans="1:10" x14ac:dyDescent="0.25">
      <c r="A69">
        <v>21858</v>
      </c>
      <c r="B69">
        <v>5.0223000000000004</v>
      </c>
      <c r="C69">
        <v>5.0228999999999999</v>
      </c>
      <c r="D69" s="13">
        <v>46122.544733796298</v>
      </c>
      <c r="E69" t="s">
        <v>20</v>
      </c>
      <c r="F69">
        <v>-0.06</v>
      </c>
      <c r="G69">
        <v>-0.06</v>
      </c>
      <c r="H69">
        <v>-1.1599999999999999</v>
      </c>
      <c r="I69">
        <v>-1.17</v>
      </c>
      <c r="J69" t="s">
        <v>14</v>
      </c>
    </row>
    <row r="70" spans="1:10" x14ac:dyDescent="0.25">
      <c r="A70">
        <v>21859</v>
      </c>
      <c r="B70">
        <v>5.0237999999999996</v>
      </c>
      <c r="C70">
        <v>5.0244</v>
      </c>
      <c r="D70" s="13">
        <v>46125.545069444444</v>
      </c>
      <c r="E70" t="s">
        <v>20</v>
      </c>
      <c r="F70">
        <v>0</v>
      </c>
      <c r="G70">
        <v>0</v>
      </c>
      <c r="H70">
        <v>0.03</v>
      </c>
      <c r="I70">
        <v>0.03</v>
      </c>
      <c r="J70" t="s">
        <v>14</v>
      </c>
    </row>
    <row r="71" spans="1:10" x14ac:dyDescent="0.25">
      <c r="A71">
        <v>21860</v>
      </c>
      <c r="B71">
        <v>4.9800000000000004</v>
      </c>
      <c r="C71">
        <v>4.9805999999999999</v>
      </c>
      <c r="D71" s="13">
        <v>46126.544062499997</v>
      </c>
      <c r="E71" t="s">
        <v>20</v>
      </c>
      <c r="F71">
        <v>-0.04</v>
      </c>
      <c r="G71">
        <v>-0.04</v>
      </c>
      <c r="H71">
        <v>-0.87</v>
      </c>
      <c r="I71">
        <v>-0.87</v>
      </c>
      <c r="J71" t="s">
        <v>14</v>
      </c>
    </row>
    <row r="72" spans="1:10" x14ac:dyDescent="0.25">
      <c r="A72">
        <v>21861</v>
      </c>
      <c r="B72">
        <v>4.9922000000000004</v>
      </c>
      <c r="C72">
        <v>4.9927999999999999</v>
      </c>
      <c r="D72" s="13">
        <v>46127.546134259261</v>
      </c>
      <c r="E72" t="s">
        <v>20</v>
      </c>
      <c r="F72">
        <v>0.01</v>
      </c>
      <c r="G72">
        <v>0.01</v>
      </c>
      <c r="H72">
        <v>0.24</v>
      </c>
      <c r="I72">
        <v>0.24</v>
      </c>
      <c r="J72" t="s">
        <v>14</v>
      </c>
    </row>
    <row r="73" spans="1:10" x14ac:dyDescent="0.25">
      <c r="A73">
        <v>21862</v>
      </c>
      <c r="B73">
        <v>5.0000999999999998</v>
      </c>
      <c r="C73">
        <v>5.0007000000000001</v>
      </c>
      <c r="D73" s="13">
        <v>46128.544085648151</v>
      </c>
      <c r="E73" t="s">
        <v>20</v>
      </c>
      <c r="F73">
        <v>0.01</v>
      </c>
      <c r="G73">
        <v>0.01</v>
      </c>
      <c r="H73">
        <v>0.16</v>
      </c>
      <c r="I73">
        <v>0.16</v>
      </c>
      <c r="J73" t="s">
        <v>14</v>
      </c>
    </row>
    <row r="74" spans="1:10" x14ac:dyDescent="0.25">
      <c r="A74">
        <v>21863</v>
      </c>
      <c r="B74">
        <v>4.9688999999999997</v>
      </c>
      <c r="C74">
        <v>4.9695</v>
      </c>
      <c r="D74" s="13">
        <v>46129.548229166663</v>
      </c>
      <c r="E74" t="s">
        <v>20</v>
      </c>
      <c r="F74">
        <v>-0.03</v>
      </c>
      <c r="G74">
        <v>-0.03</v>
      </c>
      <c r="H74">
        <v>-0.62</v>
      </c>
      <c r="I74">
        <v>-0.62</v>
      </c>
      <c r="J74" t="s">
        <v>14</v>
      </c>
    </row>
    <row r="75" spans="1:10" x14ac:dyDescent="0.25">
      <c r="A75">
        <v>21864</v>
      </c>
      <c r="B75">
        <v>4.9837999999999996</v>
      </c>
      <c r="C75">
        <v>4.9843999999999999</v>
      </c>
      <c r="D75" s="13">
        <v>46132.543356481481</v>
      </c>
      <c r="E75" t="s">
        <v>20</v>
      </c>
      <c r="F75">
        <v>0.01</v>
      </c>
      <c r="G75">
        <v>0.01</v>
      </c>
      <c r="H75">
        <v>0.3</v>
      </c>
      <c r="I75">
        <v>0.3</v>
      </c>
      <c r="J75" t="s">
        <v>14</v>
      </c>
    </row>
    <row r="76" spans="1:10" x14ac:dyDescent="0.25">
      <c r="A76">
        <v>21865</v>
      </c>
      <c r="B76">
        <v>4.9646999999999997</v>
      </c>
      <c r="C76">
        <v>4.9653</v>
      </c>
      <c r="D76" s="13">
        <v>46134.549629629626</v>
      </c>
      <c r="E76" t="s">
        <v>20</v>
      </c>
      <c r="F76">
        <v>-0.02</v>
      </c>
      <c r="G76">
        <v>-0.02</v>
      </c>
      <c r="H76">
        <v>-0.38</v>
      </c>
      <c r="I76">
        <v>-0.38</v>
      </c>
      <c r="J76" t="s">
        <v>14</v>
      </c>
    </row>
    <row r="77" spans="1:10" x14ac:dyDescent="0.25">
      <c r="A77">
        <v>21866</v>
      </c>
      <c r="B77">
        <v>4.9532999999999996</v>
      </c>
      <c r="C77">
        <v>4.9539</v>
      </c>
      <c r="D77" s="13">
        <v>46135.544050925928</v>
      </c>
      <c r="E77" t="s">
        <v>20</v>
      </c>
      <c r="F77">
        <v>-0.01</v>
      </c>
      <c r="G77">
        <v>-0.01</v>
      </c>
      <c r="H77">
        <v>-0.23</v>
      </c>
      <c r="I77">
        <v>-0.23</v>
      </c>
      <c r="J77" t="s">
        <v>14</v>
      </c>
    </row>
    <row r="78" spans="1:10" x14ac:dyDescent="0.25">
      <c r="A78">
        <v>21867</v>
      </c>
      <c r="B78">
        <v>5.0076999999999998</v>
      </c>
      <c r="C78">
        <v>5.0083000000000002</v>
      </c>
      <c r="D78" s="13">
        <v>46136.546018518522</v>
      </c>
      <c r="E78" t="s">
        <v>20</v>
      </c>
      <c r="F78">
        <v>0.05</v>
      </c>
      <c r="G78">
        <v>0.05</v>
      </c>
      <c r="H78">
        <v>1.1000000000000001</v>
      </c>
      <c r="I78">
        <v>1.1000000000000001</v>
      </c>
      <c r="J78" t="s">
        <v>14</v>
      </c>
    </row>
    <row r="79" spans="1:10" x14ac:dyDescent="0.25">
      <c r="A79">
        <v>21868</v>
      </c>
      <c r="B79">
        <v>4.9694000000000003</v>
      </c>
      <c r="C79">
        <v>4.97</v>
      </c>
      <c r="D79" s="13">
        <v>46139.545995370368</v>
      </c>
      <c r="E79" t="s">
        <v>20</v>
      </c>
      <c r="F79">
        <v>-0.04</v>
      </c>
      <c r="G79">
        <v>-0.04</v>
      </c>
      <c r="H79">
        <v>-0.76</v>
      </c>
      <c r="I79">
        <v>-0.76</v>
      </c>
      <c r="J79" t="s">
        <v>14</v>
      </c>
    </row>
    <row r="80" spans="1:10" x14ac:dyDescent="0.25">
      <c r="A80">
        <v>21869</v>
      </c>
      <c r="B80">
        <v>4.9871999999999996</v>
      </c>
      <c r="C80">
        <v>4.9878</v>
      </c>
      <c r="D80" s="13">
        <v>46140.54891203704</v>
      </c>
      <c r="E80" t="s">
        <v>20</v>
      </c>
      <c r="F80">
        <v>0.02</v>
      </c>
      <c r="G80">
        <v>0.02</v>
      </c>
      <c r="H80">
        <v>0.36</v>
      </c>
      <c r="I80">
        <v>0.36</v>
      </c>
      <c r="J80" t="s">
        <v>14</v>
      </c>
    </row>
    <row r="81" spans="1:10" x14ac:dyDescent="0.25">
      <c r="A81">
        <v>21870</v>
      </c>
      <c r="B81">
        <v>4.9978999999999996</v>
      </c>
      <c r="C81">
        <v>4.9984999999999999</v>
      </c>
      <c r="D81" s="13">
        <v>46141.54959490741</v>
      </c>
      <c r="E81" t="s">
        <v>20</v>
      </c>
      <c r="F81">
        <v>0.01</v>
      </c>
      <c r="G81">
        <v>0.01</v>
      </c>
      <c r="H81">
        <v>0.21</v>
      </c>
      <c r="I81">
        <v>0.21</v>
      </c>
      <c r="J81" t="s">
        <v>14</v>
      </c>
    </row>
    <row r="82" spans="1:10" x14ac:dyDescent="0.25">
      <c r="A82">
        <v>21871</v>
      </c>
      <c r="B82">
        <v>4.9880000000000004</v>
      </c>
      <c r="C82">
        <v>4.9885999999999999</v>
      </c>
      <c r="D82" s="13">
        <v>46142.546157407407</v>
      </c>
      <c r="E82" t="s">
        <v>20</v>
      </c>
      <c r="F82">
        <v>-0.01</v>
      </c>
      <c r="G82">
        <v>-0.01</v>
      </c>
      <c r="H82">
        <v>-0.2</v>
      </c>
      <c r="I82">
        <v>-0.2</v>
      </c>
      <c r="J82" t="s">
        <v>14</v>
      </c>
    </row>
    <row r="83" spans="1:10" x14ac:dyDescent="0.25">
      <c r="A83">
        <v>21872</v>
      </c>
      <c r="B83">
        <v>4.9581</v>
      </c>
      <c r="C83">
        <v>4.9587000000000003</v>
      </c>
      <c r="D83" s="13">
        <v>46146.548217592594</v>
      </c>
      <c r="E83" t="s">
        <v>21</v>
      </c>
      <c r="F83">
        <v>-0.03</v>
      </c>
      <c r="G83">
        <v>-0.03</v>
      </c>
      <c r="H83">
        <v>-0.6</v>
      </c>
      <c r="I83">
        <v>-0.6</v>
      </c>
      <c r="J83" t="s">
        <v>14</v>
      </c>
    </row>
    <row r="84" spans="1:10" x14ac:dyDescent="0.25">
      <c r="A84">
        <v>21873</v>
      </c>
      <c r="B84">
        <v>4.9236000000000004</v>
      </c>
      <c r="C84">
        <v>4.9241999999999999</v>
      </c>
      <c r="D84" s="13">
        <v>46147.544745370367</v>
      </c>
      <c r="E84" t="s">
        <v>21</v>
      </c>
      <c r="F84">
        <v>-0.03</v>
      </c>
      <c r="G84">
        <v>-0.03</v>
      </c>
      <c r="H84">
        <v>-0.7</v>
      </c>
      <c r="I84">
        <v>-0.7</v>
      </c>
      <c r="J84" t="s">
        <v>14</v>
      </c>
    </row>
    <row r="85" spans="1:10" x14ac:dyDescent="0.25">
      <c r="A85">
        <v>21874</v>
      </c>
      <c r="B85">
        <v>4.9268000000000001</v>
      </c>
      <c r="C85">
        <v>4.9273999999999996</v>
      </c>
      <c r="D85" s="13">
        <v>46148.547546296293</v>
      </c>
      <c r="E85" t="s">
        <v>21</v>
      </c>
      <c r="F85">
        <v>0</v>
      </c>
      <c r="G85">
        <v>0</v>
      </c>
      <c r="H85">
        <v>0.06</v>
      </c>
      <c r="I85">
        <v>0.06</v>
      </c>
      <c r="J85" t="s">
        <v>14</v>
      </c>
    </row>
    <row r="86" spans="1:10" x14ac:dyDescent="0.25">
      <c r="A86">
        <v>21875</v>
      </c>
      <c r="B86">
        <v>4.9164000000000003</v>
      </c>
      <c r="C86">
        <v>4.9169999999999998</v>
      </c>
      <c r="D86" s="13">
        <v>46149.548252314817</v>
      </c>
      <c r="E86" t="s">
        <v>21</v>
      </c>
      <c r="F86">
        <v>-0.01</v>
      </c>
      <c r="G86">
        <v>-0.01</v>
      </c>
      <c r="H86">
        <v>-0.21</v>
      </c>
      <c r="I86">
        <v>-0.21</v>
      </c>
      <c r="J86" t="s">
        <v>14</v>
      </c>
    </row>
    <row r="87" spans="1:10" x14ac:dyDescent="0.25">
      <c r="A87">
        <v>21876</v>
      </c>
      <c r="B87">
        <v>4.8993000000000002</v>
      </c>
      <c r="C87">
        <v>4.8998999999999997</v>
      </c>
      <c r="D87" s="13">
        <v>46150.54550925926</v>
      </c>
      <c r="E87" t="s">
        <v>21</v>
      </c>
      <c r="F87">
        <v>-0.02</v>
      </c>
      <c r="G87">
        <v>-0.02</v>
      </c>
      <c r="H87">
        <v>-0.35</v>
      </c>
      <c r="I87">
        <v>-0.35</v>
      </c>
      <c r="J87" t="s">
        <v>14</v>
      </c>
    </row>
    <row r="88" spans="1:10" x14ac:dyDescent="0.25">
      <c r="A88">
        <v>21877</v>
      </c>
      <c r="B88">
        <v>4.8967000000000001</v>
      </c>
      <c r="C88">
        <v>4.8973000000000004</v>
      </c>
      <c r="D88" s="13">
        <v>46153.547511574077</v>
      </c>
      <c r="E88" t="s">
        <v>21</v>
      </c>
      <c r="F88">
        <v>0</v>
      </c>
      <c r="G88">
        <v>0</v>
      </c>
      <c r="H88">
        <v>-0.05</v>
      </c>
      <c r="I88">
        <v>-0.05</v>
      </c>
      <c r="J88" t="s">
        <v>14</v>
      </c>
    </row>
    <row r="89" spans="1:10" x14ac:dyDescent="0.25">
      <c r="A89">
        <v>21878</v>
      </c>
      <c r="B89">
        <v>4.8971</v>
      </c>
      <c r="C89">
        <v>4.8977000000000004</v>
      </c>
      <c r="D89" s="13">
        <v>46154.549618055556</v>
      </c>
      <c r="E89" t="s">
        <v>21</v>
      </c>
      <c r="F89">
        <v>0</v>
      </c>
      <c r="G89">
        <v>0</v>
      </c>
      <c r="H89">
        <v>0.01</v>
      </c>
      <c r="I89">
        <v>0.01</v>
      </c>
      <c r="J89" t="s">
        <v>14</v>
      </c>
    </row>
    <row r="90" spans="1:10" x14ac:dyDescent="0.25">
      <c r="A90">
        <v>21879</v>
      </c>
      <c r="B90">
        <v>4.9112</v>
      </c>
      <c r="C90">
        <v>4.9118000000000004</v>
      </c>
      <c r="D90" s="13">
        <v>46155.554108796299</v>
      </c>
      <c r="E90" t="s">
        <v>21</v>
      </c>
      <c r="F90">
        <v>0.01</v>
      </c>
      <c r="G90">
        <v>0.01</v>
      </c>
      <c r="H90">
        <v>0.28999999999999998</v>
      </c>
      <c r="I90">
        <v>0.28999999999999998</v>
      </c>
      <c r="J90" t="s">
        <v>14</v>
      </c>
    </row>
    <row r="91" spans="1:10" x14ac:dyDescent="0.25">
      <c r="A91">
        <v>21880</v>
      </c>
      <c r="B91">
        <v>4.9802999999999997</v>
      </c>
      <c r="C91">
        <v>4.9809000000000001</v>
      </c>
      <c r="D91" s="13">
        <v>46156.543923611112</v>
      </c>
      <c r="E91" t="s">
        <v>21</v>
      </c>
      <c r="F91">
        <v>7.0000000000000007E-2</v>
      </c>
      <c r="G91">
        <v>7.0000000000000007E-2</v>
      </c>
      <c r="H91">
        <v>1.41</v>
      </c>
      <c r="I91">
        <v>1.41</v>
      </c>
      <c r="J91" t="s">
        <v>14</v>
      </c>
    </row>
    <row r="92" spans="1:10" x14ac:dyDescent="0.25">
      <c r="A92">
        <v>21881</v>
      </c>
      <c r="B92">
        <v>5.0648</v>
      </c>
      <c r="C92">
        <v>5.0654000000000003</v>
      </c>
      <c r="D92" s="13">
        <v>46157.547534722224</v>
      </c>
      <c r="E92" t="s">
        <v>21</v>
      </c>
      <c r="F92">
        <v>0.08</v>
      </c>
      <c r="G92">
        <v>0.08</v>
      </c>
      <c r="H92">
        <v>1.7</v>
      </c>
      <c r="I92">
        <v>1.7</v>
      </c>
      <c r="J92" t="s">
        <v>14</v>
      </c>
    </row>
    <row r="93" spans="1:10" x14ac:dyDescent="0.25">
      <c r="A93">
        <v>21882</v>
      </c>
      <c r="B93">
        <v>5.0087000000000002</v>
      </c>
      <c r="C93">
        <v>5.0092999999999996</v>
      </c>
      <c r="D93" s="13">
        <v>46160.544745370367</v>
      </c>
      <c r="E93" t="s">
        <v>21</v>
      </c>
      <c r="F93">
        <v>-0.06</v>
      </c>
      <c r="G93">
        <v>-0.06</v>
      </c>
      <c r="H93">
        <v>-1.1100000000000001</v>
      </c>
      <c r="I93">
        <v>-1.1100000000000001</v>
      </c>
      <c r="J93" t="s">
        <v>14</v>
      </c>
    </row>
    <row r="94" spans="1:10" x14ac:dyDescent="0.25">
      <c r="D94" s="6"/>
    </row>
    <row r="95" spans="1:10" x14ac:dyDescent="0.25">
      <c r="D95" s="6"/>
    </row>
    <row r="96" spans="1:10" x14ac:dyDescent="0.25">
      <c r="D96" s="6"/>
    </row>
    <row r="97" spans="4:4" x14ac:dyDescent="0.25">
      <c r="D97" s="6"/>
    </row>
    <row r="98" spans="4:4" x14ac:dyDescent="0.25">
      <c r="D98" s="6"/>
    </row>
    <row r="99" spans="4:4" x14ac:dyDescent="0.25">
      <c r="D99" s="6"/>
    </row>
    <row r="100" spans="4:4" x14ac:dyDescent="0.25">
      <c r="D100" s="6"/>
    </row>
    <row r="101" spans="4:4" x14ac:dyDescent="0.25">
      <c r="D101" s="6"/>
    </row>
    <row r="102" spans="4:4" x14ac:dyDescent="0.25">
      <c r="D102" s="6"/>
    </row>
    <row r="103" spans="4:4" x14ac:dyDescent="0.25">
      <c r="D103" s="6"/>
    </row>
    <row r="104" spans="4:4" x14ac:dyDescent="0.25">
      <c r="D104" s="6"/>
    </row>
    <row r="105" spans="4:4" x14ac:dyDescent="0.25">
      <c r="D105" s="6"/>
    </row>
    <row r="106" spans="4:4" x14ac:dyDescent="0.25">
      <c r="D106" s="6"/>
    </row>
    <row r="107" spans="4:4" x14ac:dyDescent="0.25">
      <c r="D107" s="6"/>
    </row>
    <row r="108" spans="4:4" x14ac:dyDescent="0.25">
      <c r="D108" s="6"/>
    </row>
    <row r="109" spans="4:4" x14ac:dyDescent="0.25">
      <c r="D109" s="6"/>
    </row>
    <row r="110" spans="4:4" x14ac:dyDescent="0.25">
      <c r="D110" s="6"/>
    </row>
    <row r="111" spans="4:4" x14ac:dyDescent="0.25">
      <c r="D111" s="6"/>
    </row>
    <row r="112" spans="4:4" x14ac:dyDescent="0.25">
      <c r="D112" s="6"/>
    </row>
    <row r="113" spans="4:4" x14ac:dyDescent="0.25">
      <c r="D113" s="6"/>
    </row>
    <row r="114" spans="4:4" x14ac:dyDescent="0.25">
      <c r="D114" s="6"/>
    </row>
    <row r="115" spans="4:4" x14ac:dyDescent="0.25">
      <c r="D115" s="6"/>
    </row>
    <row r="116" spans="4:4" x14ac:dyDescent="0.25">
      <c r="D116" s="6"/>
    </row>
    <row r="117" spans="4:4" x14ac:dyDescent="0.25">
      <c r="D117" s="6"/>
    </row>
    <row r="118" spans="4:4" x14ac:dyDescent="0.25">
      <c r="D118" s="6"/>
    </row>
    <row r="119" spans="4:4" x14ac:dyDescent="0.25">
      <c r="D119" s="6"/>
    </row>
    <row r="120" spans="4:4" x14ac:dyDescent="0.25">
      <c r="D120" s="6"/>
    </row>
    <row r="121" spans="4:4" x14ac:dyDescent="0.25">
      <c r="D121" s="6"/>
    </row>
    <row r="122" spans="4:4" x14ac:dyDescent="0.25">
      <c r="D122" s="6"/>
    </row>
    <row r="123" spans="4:4" x14ac:dyDescent="0.25">
      <c r="D123" s="6"/>
    </row>
    <row r="124" spans="4:4" x14ac:dyDescent="0.25">
      <c r="D124" s="6"/>
    </row>
    <row r="125" spans="4:4" x14ac:dyDescent="0.25">
      <c r="D125" s="6"/>
    </row>
    <row r="126" spans="4:4" x14ac:dyDescent="0.25">
      <c r="D126" s="6"/>
    </row>
    <row r="127" spans="4:4" x14ac:dyDescent="0.25">
      <c r="D127" s="6"/>
    </row>
    <row r="128" spans="4:4" x14ac:dyDescent="0.25">
      <c r="D128" s="6"/>
    </row>
    <row r="129" spans="4:4" x14ac:dyDescent="0.25">
      <c r="D129" s="6"/>
    </row>
    <row r="130" spans="4:4" x14ac:dyDescent="0.25">
      <c r="D130" s="6"/>
    </row>
    <row r="131" spans="4:4" x14ac:dyDescent="0.25">
      <c r="D131" s="6"/>
    </row>
    <row r="132" spans="4:4" x14ac:dyDescent="0.25">
      <c r="D132" s="6"/>
    </row>
    <row r="133" spans="4:4" x14ac:dyDescent="0.25">
      <c r="D133" s="6"/>
    </row>
    <row r="134" spans="4:4" x14ac:dyDescent="0.25">
      <c r="D134" s="6"/>
    </row>
    <row r="135" spans="4:4" x14ac:dyDescent="0.25">
      <c r="D135" s="6"/>
    </row>
    <row r="136" spans="4:4" x14ac:dyDescent="0.25">
      <c r="D136" s="6"/>
    </row>
    <row r="137" spans="4:4" x14ac:dyDescent="0.25">
      <c r="D137" s="6"/>
    </row>
    <row r="138" spans="4:4" x14ac:dyDescent="0.25">
      <c r="D138" s="6"/>
    </row>
    <row r="139" spans="4:4" x14ac:dyDescent="0.25">
      <c r="D139" s="6"/>
    </row>
    <row r="140" spans="4:4" x14ac:dyDescent="0.25">
      <c r="D140" s="6"/>
    </row>
    <row r="141" spans="4:4" x14ac:dyDescent="0.25">
      <c r="D141" s="6"/>
    </row>
    <row r="142" spans="4:4" x14ac:dyDescent="0.25">
      <c r="D142" s="6"/>
    </row>
    <row r="143" spans="4:4" x14ac:dyDescent="0.25">
      <c r="D143" s="6"/>
    </row>
    <row r="144" spans="4:4" x14ac:dyDescent="0.25">
      <c r="D144" s="6"/>
    </row>
    <row r="145" spans="4:4" x14ac:dyDescent="0.25">
      <c r="D145" s="6"/>
    </row>
    <row r="146" spans="4:4" x14ac:dyDescent="0.25">
      <c r="D146" s="6"/>
    </row>
    <row r="147" spans="4:4" x14ac:dyDescent="0.25">
      <c r="D147" s="6"/>
    </row>
    <row r="148" spans="4:4" x14ac:dyDescent="0.25">
      <c r="D148" s="6"/>
    </row>
    <row r="149" spans="4:4" x14ac:dyDescent="0.25">
      <c r="D149" s="6"/>
    </row>
    <row r="150" spans="4:4" x14ac:dyDescent="0.25">
      <c r="D150" s="6"/>
    </row>
    <row r="151" spans="4:4" x14ac:dyDescent="0.25">
      <c r="D151" s="6"/>
    </row>
    <row r="152" spans="4:4" x14ac:dyDescent="0.25">
      <c r="D152" s="6"/>
    </row>
    <row r="153" spans="4:4" x14ac:dyDescent="0.25">
      <c r="D153" s="6"/>
    </row>
    <row r="154" spans="4:4" x14ac:dyDescent="0.25">
      <c r="D154" s="6"/>
    </row>
    <row r="155" spans="4:4" x14ac:dyDescent="0.25">
      <c r="D155" s="6"/>
    </row>
    <row r="156" spans="4:4" x14ac:dyDescent="0.25">
      <c r="D156" s="6"/>
    </row>
    <row r="157" spans="4:4" x14ac:dyDescent="0.25">
      <c r="D157" s="6"/>
    </row>
    <row r="158" spans="4:4" x14ac:dyDescent="0.25">
      <c r="D158" s="6"/>
    </row>
    <row r="159" spans="4:4" x14ac:dyDescent="0.25">
      <c r="D159" s="6"/>
    </row>
    <row r="160" spans="4:4" x14ac:dyDescent="0.25">
      <c r="D160" s="6"/>
    </row>
    <row r="161" spans="4:4" x14ac:dyDescent="0.25">
      <c r="D161" s="6"/>
    </row>
    <row r="162" spans="4:4" x14ac:dyDescent="0.25">
      <c r="D162" s="6"/>
    </row>
    <row r="163" spans="4:4" x14ac:dyDescent="0.25">
      <c r="D163" s="6"/>
    </row>
    <row r="164" spans="4:4" x14ac:dyDescent="0.25">
      <c r="D164" s="6"/>
    </row>
    <row r="165" spans="4:4" x14ac:dyDescent="0.25">
      <c r="D165" s="6"/>
    </row>
    <row r="166" spans="4:4" x14ac:dyDescent="0.25">
      <c r="D166" s="6"/>
    </row>
    <row r="167" spans="4:4" x14ac:dyDescent="0.25">
      <c r="D167" s="6"/>
    </row>
    <row r="168" spans="4:4" x14ac:dyDescent="0.25">
      <c r="D168" s="6"/>
    </row>
    <row r="169" spans="4:4" x14ac:dyDescent="0.25">
      <c r="D169" s="6"/>
    </row>
    <row r="170" spans="4:4" x14ac:dyDescent="0.25">
      <c r="D170" s="6"/>
    </row>
    <row r="171" spans="4:4" x14ac:dyDescent="0.25">
      <c r="D171" s="6"/>
    </row>
    <row r="172" spans="4:4" x14ac:dyDescent="0.25">
      <c r="D172" s="6"/>
    </row>
    <row r="173" spans="4:4" x14ac:dyDescent="0.25">
      <c r="D173" s="6"/>
    </row>
    <row r="174" spans="4:4" x14ac:dyDescent="0.25">
      <c r="D174" s="6"/>
    </row>
    <row r="175" spans="4:4" x14ac:dyDescent="0.25">
      <c r="D175" s="6"/>
    </row>
    <row r="176" spans="4:4" x14ac:dyDescent="0.25">
      <c r="D176" s="6"/>
    </row>
    <row r="177" spans="4:4" x14ac:dyDescent="0.25">
      <c r="D177" s="6"/>
    </row>
    <row r="178" spans="4:4" x14ac:dyDescent="0.25">
      <c r="D178" s="6"/>
    </row>
    <row r="179" spans="4:4" x14ac:dyDescent="0.25">
      <c r="D179" s="6"/>
    </row>
    <row r="180" spans="4:4" x14ac:dyDescent="0.25">
      <c r="D180" s="6"/>
    </row>
    <row r="181" spans="4:4" x14ac:dyDescent="0.25">
      <c r="D181" s="6"/>
    </row>
    <row r="182" spans="4:4" x14ac:dyDescent="0.25">
      <c r="D182" s="6"/>
    </row>
    <row r="183" spans="4:4" x14ac:dyDescent="0.25">
      <c r="D183" s="6"/>
    </row>
    <row r="184" spans="4:4" x14ac:dyDescent="0.25">
      <c r="D184" s="6"/>
    </row>
    <row r="185" spans="4:4" x14ac:dyDescent="0.25">
      <c r="D185" s="6"/>
    </row>
    <row r="186" spans="4:4" x14ac:dyDescent="0.25">
      <c r="D186" s="6"/>
    </row>
    <row r="187" spans="4:4" x14ac:dyDescent="0.25">
      <c r="D187" s="6"/>
    </row>
    <row r="188" spans="4:4" x14ac:dyDescent="0.25">
      <c r="D188" s="6"/>
    </row>
    <row r="189" spans="4:4" x14ac:dyDescent="0.25">
      <c r="D189" s="6"/>
    </row>
    <row r="190" spans="4:4" x14ac:dyDescent="0.25">
      <c r="D190" s="6"/>
    </row>
    <row r="191" spans="4:4" x14ac:dyDescent="0.25">
      <c r="D191" s="6"/>
    </row>
    <row r="192" spans="4:4" x14ac:dyDescent="0.25">
      <c r="D192" s="6"/>
    </row>
    <row r="193" spans="4:4" x14ac:dyDescent="0.25">
      <c r="D193" s="6"/>
    </row>
    <row r="194" spans="4:4" x14ac:dyDescent="0.25">
      <c r="D194" s="6"/>
    </row>
    <row r="195" spans="4:4" x14ac:dyDescent="0.25">
      <c r="D195" s="6"/>
    </row>
    <row r="196" spans="4:4" x14ac:dyDescent="0.25">
      <c r="D196" s="6"/>
    </row>
    <row r="197" spans="4:4" x14ac:dyDescent="0.25">
      <c r="D197" s="6"/>
    </row>
    <row r="198" spans="4:4" x14ac:dyDescent="0.25">
      <c r="D198" s="6"/>
    </row>
    <row r="199" spans="4:4" x14ac:dyDescent="0.25">
      <c r="D199" s="6"/>
    </row>
    <row r="200" spans="4:4" x14ac:dyDescent="0.25">
      <c r="D200" s="6"/>
    </row>
    <row r="201" spans="4:4" x14ac:dyDescent="0.25">
      <c r="D201" s="6"/>
    </row>
    <row r="202" spans="4:4" x14ac:dyDescent="0.25">
      <c r="D202" s="6"/>
    </row>
    <row r="203" spans="4:4" x14ac:dyDescent="0.25">
      <c r="D203" s="6"/>
    </row>
    <row r="204" spans="4:4" x14ac:dyDescent="0.25">
      <c r="D204" s="6"/>
    </row>
    <row r="205" spans="4:4" x14ac:dyDescent="0.25">
      <c r="D205" s="6"/>
    </row>
    <row r="206" spans="4:4" x14ac:dyDescent="0.25">
      <c r="D206" s="6"/>
    </row>
    <row r="207" spans="4:4" x14ac:dyDescent="0.25">
      <c r="D207" s="6"/>
    </row>
    <row r="208" spans="4:4" x14ac:dyDescent="0.25">
      <c r="D208" s="6"/>
    </row>
    <row r="209" spans="4:4" x14ac:dyDescent="0.25">
      <c r="D209" s="6"/>
    </row>
    <row r="210" spans="4:4" x14ac:dyDescent="0.25">
      <c r="D210" s="6"/>
    </row>
    <row r="211" spans="4:4" x14ac:dyDescent="0.25">
      <c r="D211" s="6"/>
    </row>
    <row r="212" spans="4:4" x14ac:dyDescent="0.25">
      <c r="D212" s="6"/>
    </row>
    <row r="213" spans="4:4" x14ac:dyDescent="0.25">
      <c r="D213" s="6"/>
    </row>
    <row r="214" spans="4:4" x14ac:dyDescent="0.25">
      <c r="D214" s="6"/>
    </row>
    <row r="215" spans="4:4" x14ac:dyDescent="0.25">
      <c r="D215" s="6"/>
    </row>
    <row r="216" spans="4:4" x14ac:dyDescent="0.25">
      <c r="D216" s="6"/>
    </row>
    <row r="217" spans="4:4" x14ac:dyDescent="0.25">
      <c r="D217" s="6"/>
    </row>
    <row r="218" spans="4:4" x14ac:dyDescent="0.25">
      <c r="D218" s="6"/>
    </row>
    <row r="219" spans="4:4" x14ac:dyDescent="0.25">
      <c r="D219" s="6"/>
    </row>
    <row r="220" spans="4:4" x14ac:dyDescent="0.25">
      <c r="D220" s="6"/>
    </row>
    <row r="221" spans="4:4" x14ac:dyDescent="0.25">
      <c r="D221" s="6"/>
    </row>
    <row r="222" spans="4:4" x14ac:dyDescent="0.25">
      <c r="D222" s="6"/>
    </row>
    <row r="223" spans="4:4" x14ac:dyDescent="0.25">
      <c r="D223" s="6"/>
    </row>
    <row r="224" spans="4:4" x14ac:dyDescent="0.25">
      <c r="D224" s="6"/>
    </row>
    <row r="225" spans="4:4" x14ac:dyDescent="0.25">
      <c r="D225" s="6"/>
    </row>
    <row r="226" spans="4:4" x14ac:dyDescent="0.25">
      <c r="D226" s="6"/>
    </row>
    <row r="227" spans="4:4" x14ac:dyDescent="0.25">
      <c r="D227" s="6"/>
    </row>
    <row r="228" spans="4:4" x14ac:dyDescent="0.25">
      <c r="D228" s="6"/>
    </row>
    <row r="229" spans="4:4" x14ac:dyDescent="0.25">
      <c r="D229" s="6"/>
    </row>
    <row r="230" spans="4:4" x14ac:dyDescent="0.25">
      <c r="D230" s="6"/>
    </row>
    <row r="231" spans="4:4" x14ac:dyDescent="0.25">
      <c r="D231" s="6"/>
    </row>
    <row r="232" spans="4:4" x14ac:dyDescent="0.25">
      <c r="D232" s="6"/>
    </row>
    <row r="233" spans="4:4" x14ac:dyDescent="0.25">
      <c r="D233" s="6"/>
    </row>
    <row r="234" spans="4:4" x14ac:dyDescent="0.25">
      <c r="D234" s="6"/>
    </row>
    <row r="235" spans="4:4" x14ac:dyDescent="0.25">
      <c r="D235" s="6"/>
    </row>
    <row r="236" spans="4:4" x14ac:dyDescent="0.25">
      <c r="D236" s="6"/>
    </row>
    <row r="237" spans="4:4" x14ac:dyDescent="0.25">
      <c r="D237" s="6"/>
    </row>
    <row r="238" spans="4:4" x14ac:dyDescent="0.25">
      <c r="D238" s="6"/>
    </row>
    <row r="239" spans="4:4" x14ac:dyDescent="0.25">
      <c r="D239" s="6"/>
    </row>
    <row r="240" spans="4:4" x14ac:dyDescent="0.25">
      <c r="D240" s="6"/>
    </row>
    <row r="241" spans="4:4" x14ac:dyDescent="0.25">
      <c r="D241" s="6"/>
    </row>
    <row r="242" spans="4:4" x14ac:dyDescent="0.25">
      <c r="D242" s="6"/>
    </row>
    <row r="243" spans="4:4" x14ac:dyDescent="0.25">
      <c r="D243" s="6"/>
    </row>
    <row r="244" spans="4:4" x14ac:dyDescent="0.25">
      <c r="D244" s="6"/>
    </row>
    <row r="245" spans="4:4" x14ac:dyDescent="0.25">
      <c r="D245" s="6"/>
    </row>
    <row r="246" spans="4:4" x14ac:dyDescent="0.25">
      <c r="D246" s="6"/>
    </row>
    <row r="247" spans="4:4" x14ac:dyDescent="0.25">
      <c r="D247" s="6"/>
    </row>
    <row r="248" spans="4:4" x14ac:dyDescent="0.25">
      <c r="D248" s="6"/>
    </row>
    <row r="249" spans="4:4" x14ac:dyDescent="0.25">
      <c r="D249" s="6"/>
    </row>
    <row r="250" spans="4:4" x14ac:dyDescent="0.25">
      <c r="D250" s="6"/>
    </row>
    <row r="251" spans="4:4" x14ac:dyDescent="0.25">
      <c r="D251" s="6"/>
    </row>
    <row r="252" spans="4:4" x14ac:dyDescent="0.25">
      <c r="D252" s="6"/>
    </row>
    <row r="253" spans="4:4" x14ac:dyDescent="0.25">
      <c r="D253" s="6"/>
    </row>
    <row r="254" spans="4:4" x14ac:dyDescent="0.25">
      <c r="D254" s="6"/>
    </row>
    <row r="255" spans="4:4" x14ac:dyDescent="0.25">
      <c r="D255" s="6"/>
    </row>
    <row r="256" spans="4:4" x14ac:dyDescent="0.25">
      <c r="D256" s="6"/>
    </row>
    <row r="257" spans="4:4" x14ac:dyDescent="0.25">
      <c r="D257" s="6"/>
    </row>
    <row r="258" spans="4:4" x14ac:dyDescent="0.25">
      <c r="D258" s="6"/>
    </row>
    <row r="259" spans="4:4" x14ac:dyDescent="0.25">
      <c r="D259" s="6"/>
    </row>
    <row r="260" spans="4:4" x14ac:dyDescent="0.25">
      <c r="D260" s="6"/>
    </row>
    <row r="261" spans="4:4" x14ac:dyDescent="0.25">
      <c r="D261" s="6"/>
    </row>
    <row r="262" spans="4:4" x14ac:dyDescent="0.25">
      <c r="D262" s="6"/>
    </row>
    <row r="263" spans="4:4" x14ac:dyDescent="0.25">
      <c r="D263" s="6"/>
    </row>
    <row r="264" spans="4:4" x14ac:dyDescent="0.25">
      <c r="D264" s="6"/>
    </row>
    <row r="265" spans="4:4" x14ac:dyDescent="0.25">
      <c r="D265" s="6"/>
    </row>
    <row r="266" spans="4:4" x14ac:dyDescent="0.25">
      <c r="D266" s="6"/>
    </row>
    <row r="267" spans="4:4" x14ac:dyDescent="0.25">
      <c r="D267" s="6"/>
    </row>
    <row r="268" spans="4:4" x14ac:dyDescent="0.25">
      <c r="D268" s="6"/>
    </row>
    <row r="269" spans="4:4" x14ac:dyDescent="0.25">
      <c r="D269" s="6"/>
    </row>
    <row r="270" spans="4:4" x14ac:dyDescent="0.25">
      <c r="D270" s="6"/>
    </row>
    <row r="271" spans="4:4" x14ac:dyDescent="0.25">
      <c r="D271" s="6"/>
    </row>
    <row r="272" spans="4:4" x14ac:dyDescent="0.25">
      <c r="D272" s="6"/>
    </row>
    <row r="273" spans="4:4" x14ac:dyDescent="0.25">
      <c r="D273" s="6"/>
    </row>
    <row r="274" spans="4:4" x14ac:dyDescent="0.25">
      <c r="D274" s="6"/>
    </row>
    <row r="275" spans="4:4" x14ac:dyDescent="0.25">
      <c r="D275" s="6"/>
    </row>
    <row r="276" spans="4:4" x14ac:dyDescent="0.25">
      <c r="D276" s="6"/>
    </row>
    <row r="277" spans="4:4" x14ac:dyDescent="0.25">
      <c r="D277" s="6"/>
    </row>
    <row r="278" spans="4:4" x14ac:dyDescent="0.25">
      <c r="D278" s="6"/>
    </row>
    <row r="279" spans="4:4" x14ac:dyDescent="0.25">
      <c r="D279" s="6"/>
    </row>
    <row r="280" spans="4:4" x14ac:dyDescent="0.25">
      <c r="D280" s="6"/>
    </row>
    <row r="281" spans="4:4" x14ac:dyDescent="0.25">
      <c r="D281" s="6"/>
    </row>
    <row r="282" spans="4:4" x14ac:dyDescent="0.25">
      <c r="D282" s="6"/>
    </row>
    <row r="283" spans="4:4" x14ac:dyDescent="0.25">
      <c r="D283" s="6"/>
    </row>
    <row r="284" spans="4:4" x14ac:dyDescent="0.25">
      <c r="D284" s="6"/>
    </row>
    <row r="285" spans="4:4" x14ac:dyDescent="0.25">
      <c r="D285" s="6"/>
    </row>
    <row r="286" spans="4:4" x14ac:dyDescent="0.25">
      <c r="D286" s="6"/>
    </row>
    <row r="287" spans="4:4" x14ac:dyDescent="0.25">
      <c r="D287" s="6"/>
    </row>
    <row r="288" spans="4:4" x14ac:dyDescent="0.25">
      <c r="D288" s="6"/>
    </row>
    <row r="289" spans="4:4" x14ac:dyDescent="0.25">
      <c r="D289" s="6"/>
    </row>
    <row r="290" spans="4:4" x14ac:dyDescent="0.25">
      <c r="D290" s="6"/>
    </row>
    <row r="291" spans="4:4" x14ac:dyDescent="0.25">
      <c r="D291" s="6"/>
    </row>
    <row r="292" spans="4:4" x14ac:dyDescent="0.25">
      <c r="D292" s="6"/>
    </row>
    <row r="293" spans="4:4" x14ac:dyDescent="0.25">
      <c r="D293" s="6"/>
    </row>
    <row r="294" spans="4:4" x14ac:dyDescent="0.25">
      <c r="D294" s="6"/>
    </row>
    <row r="295" spans="4:4" x14ac:dyDescent="0.25">
      <c r="D295" s="6"/>
    </row>
    <row r="296" spans="4:4" x14ac:dyDescent="0.25">
      <c r="D296" s="6"/>
    </row>
    <row r="297" spans="4:4" x14ac:dyDescent="0.25">
      <c r="D297" s="6"/>
    </row>
    <row r="298" spans="4:4" x14ac:dyDescent="0.25">
      <c r="D298" s="6"/>
    </row>
    <row r="299" spans="4:4" x14ac:dyDescent="0.25">
      <c r="D299" s="6"/>
    </row>
    <row r="300" spans="4:4" x14ac:dyDescent="0.25">
      <c r="D300" s="6"/>
    </row>
    <row r="301" spans="4:4" x14ac:dyDescent="0.25">
      <c r="D301" s="6"/>
    </row>
    <row r="302" spans="4:4" x14ac:dyDescent="0.25">
      <c r="D302" s="6"/>
    </row>
    <row r="303" spans="4:4" x14ac:dyDescent="0.25">
      <c r="D303" s="6"/>
    </row>
    <row r="304" spans="4:4" x14ac:dyDescent="0.25">
      <c r="D304" s="6"/>
    </row>
    <row r="305" spans="4:4" x14ac:dyDescent="0.25">
      <c r="D305" s="6"/>
    </row>
    <row r="306" spans="4:4" x14ac:dyDescent="0.25">
      <c r="D306" s="6"/>
    </row>
    <row r="307" spans="4:4" x14ac:dyDescent="0.25">
      <c r="D307" s="6"/>
    </row>
    <row r="308" spans="4:4" x14ac:dyDescent="0.25">
      <c r="D308" s="6"/>
    </row>
    <row r="309" spans="4:4" x14ac:dyDescent="0.25">
      <c r="D309" s="6"/>
    </row>
    <row r="310" spans="4:4" x14ac:dyDescent="0.25">
      <c r="D310" s="6"/>
    </row>
    <row r="311" spans="4:4" x14ac:dyDescent="0.25">
      <c r="D311" s="6"/>
    </row>
    <row r="312" spans="4:4" x14ac:dyDescent="0.25">
      <c r="D312" s="6"/>
    </row>
    <row r="313" spans="4:4" x14ac:dyDescent="0.25">
      <c r="D313" s="6"/>
    </row>
    <row r="314" spans="4:4" x14ac:dyDescent="0.25">
      <c r="D314" s="6"/>
    </row>
    <row r="315" spans="4:4" x14ac:dyDescent="0.25">
      <c r="D315" s="6"/>
    </row>
    <row r="316" spans="4:4" x14ac:dyDescent="0.25">
      <c r="D316" s="6"/>
    </row>
    <row r="317" spans="4:4" x14ac:dyDescent="0.25">
      <c r="D317" s="6"/>
    </row>
    <row r="318" spans="4:4" x14ac:dyDescent="0.25">
      <c r="D318" s="6"/>
    </row>
    <row r="319" spans="4:4" x14ac:dyDescent="0.25">
      <c r="D319" s="6"/>
    </row>
    <row r="320" spans="4:4" x14ac:dyDescent="0.25">
      <c r="D320" s="6"/>
    </row>
    <row r="321" spans="4:4" x14ac:dyDescent="0.25">
      <c r="D321" s="6"/>
    </row>
    <row r="322" spans="4:4" x14ac:dyDescent="0.25">
      <c r="D322" s="6"/>
    </row>
    <row r="323" spans="4:4" x14ac:dyDescent="0.25">
      <c r="D323" s="6"/>
    </row>
    <row r="324" spans="4:4" x14ac:dyDescent="0.25">
      <c r="D324" s="6"/>
    </row>
    <row r="325" spans="4:4" x14ac:dyDescent="0.25">
      <c r="D325" s="6"/>
    </row>
    <row r="326" spans="4:4" x14ac:dyDescent="0.25">
      <c r="D326" s="6"/>
    </row>
    <row r="327" spans="4:4" x14ac:dyDescent="0.25">
      <c r="D327" s="6"/>
    </row>
    <row r="328" spans="4:4" x14ac:dyDescent="0.25">
      <c r="D328" s="6"/>
    </row>
    <row r="329" spans="4:4" x14ac:dyDescent="0.25">
      <c r="D329" s="6"/>
    </row>
    <row r="330" spans="4:4" x14ac:dyDescent="0.25">
      <c r="D330" s="6"/>
    </row>
    <row r="331" spans="4:4" x14ac:dyDescent="0.25">
      <c r="D331" s="6"/>
    </row>
    <row r="332" spans="4:4" x14ac:dyDescent="0.25">
      <c r="D332" s="6"/>
    </row>
    <row r="333" spans="4:4" x14ac:dyDescent="0.25">
      <c r="D333" s="6"/>
    </row>
    <row r="334" spans="4:4" x14ac:dyDescent="0.25">
      <c r="D334" s="6"/>
    </row>
    <row r="335" spans="4:4" x14ac:dyDescent="0.25">
      <c r="D335" s="6"/>
    </row>
    <row r="336" spans="4:4" x14ac:dyDescent="0.25">
      <c r="D336" s="6"/>
    </row>
    <row r="337" spans="4:4" x14ac:dyDescent="0.25">
      <c r="D337" s="6"/>
    </row>
    <row r="338" spans="4:4" x14ac:dyDescent="0.25">
      <c r="D338" s="6"/>
    </row>
    <row r="339" spans="4:4" x14ac:dyDescent="0.25">
      <c r="D339" s="6"/>
    </row>
    <row r="340" spans="4:4" x14ac:dyDescent="0.25">
      <c r="D340" s="6"/>
    </row>
    <row r="341" spans="4:4" x14ac:dyDescent="0.25">
      <c r="D341" s="6"/>
    </row>
    <row r="342" spans="4:4" x14ac:dyDescent="0.25">
      <c r="D342" s="6"/>
    </row>
    <row r="343" spans="4:4" x14ac:dyDescent="0.25">
      <c r="D343" s="6"/>
    </row>
    <row r="344" spans="4:4" x14ac:dyDescent="0.25">
      <c r="D344" s="6"/>
    </row>
    <row r="345" spans="4:4" x14ac:dyDescent="0.25">
      <c r="D345" s="6"/>
    </row>
    <row r="346" spans="4:4" x14ac:dyDescent="0.25">
      <c r="D346" s="6"/>
    </row>
    <row r="347" spans="4:4" x14ac:dyDescent="0.25">
      <c r="D347" s="6"/>
    </row>
    <row r="348" spans="4:4" x14ac:dyDescent="0.25">
      <c r="D348" s="6"/>
    </row>
    <row r="349" spans="4:4" x14ac:dyDescent="0.25">
      <c r="D349" s="6"/>
    </row>
    <row r="350" spans="4:4" x14ac:dyDescent="0.25">
      <c r="D350" s="6"/>
    </row>
    <row r="351" spans="4:4" x14ac:dyDescent="0.25">
      <c r="D351" s="6"/>
    </row>
    <row r="352" spans="4:4" x14ac:dyDescent="0.25">
      <c r="D352" s="6"/>
    </row>
    <row r="353" spans="4:4" x14ac:dyDescent="0.25">
      <c r="D353" s="6"/>
    </row>
    <row r="354" spans="4:4" x14ac:dyDescent="0.25">
      <c r="D354" s="6"/>
    </row>
    <row r="355" spans="4:4" x14ac:dyDescent="0.25">
      <c r="D355" s="6"/>
    </row>
    <row r="356" spans="4:4" x14ac:dyDescent="0.25">
      <c r="D356" s="6"/>
    </row>
    <row r="357" spans="4:4" x14ac:dyDescent="0.25">
      <c r="D357" s="6"/>
    </row>
    <row r="358" spans="4:4" x14ac:dyDescent="0.25">
      <c r="D358" s="6"/>
    </row>
    <row r="359" spans="4:4" x14ac:dyDescent="0.25">
      <c r="D359" s="6"/>
    </row>
    <row r="360" spans="4:4" x14ac:dyDescent="0.25">
      <c r="D360" s="6"/>
    </row>
    <row r="361" spans="4:4" x14ac:dyDescent="0.25">
      <c r="D361" s="6"/>
    </row>
    <row r="362" spans="4:4" x14ac:dyDescent="0.25">
      <c r="D362" s="6"/>
    </row>
    <row r="363" spans="4:4" x14ac:dyDescent="0.25">
      <c r="D363" s="6"/>
    </row>
    <row r="364" spans="4:4" x14ac:dyDescent="0.25">
      <c r="D364" s="6"/>
    </row>
    <row r="365" spans="4:4" x14ac:dyDescent="0.25">
      <c r="D365" s="6"/>
    </row>
    <row r="366" spans="4:4" x14ac:dyDescent="0.25">
      <c r="D366" s="6"/>
    </row>
    <row r="367" spans="4:4" x14ac:dyDescent="0.25">
      <c r="D367" s="6"/>
    </row>
    <row r="368" spans="4:4" x14ac:dyDescent="0.25">
      <c r="D368" s="6"/>
    </row>
    <row r="369" spans="4:4" x14ac:dyDescent="0.25">
      <c r="D369" s="6"/>
    </row>
    <row r="370" spans="4:4" x14ac:dyDescent="0.25">
      <c r="D370" s="6"/>
    </row>
    <row r="371" spans="4:4" x14ac:dyDescent="0.25">
      <c r="D371" s="6"/>
    </row>
    <row r="372" spans="4:4" x14ac:dyDescent="0.25">
      <c r="D372" s="6"/>
    </row>
    <row r="373" spans="4:4" x14ac:dyDescent="0.25">
      <c r="D373" s="6"/>
    </row>
    <row r="374" spans="4:4" x14ac:dyDescent="0.25">
      <c r="D374" s="6"/>
    </row>
    <row r="375" spans="4:4" x14ac:dyDescent="0.25">
      <c r="D375" s="6"/>
    </row>
    <row r="376" spans="4:4" x14ac:dyDescent="0.25">
      <c r="D376" s="6"/>
    </row>
    <row r="377" spans="4:4" x14ac:dyDescent="0.25">
      <c r="D377" s="6"/>
    </row>
    <row r="378" spans="4:4" x14ac:dyDescent="0.25">
      <c r="D378" s="6"/>
    </row>
    <row r="379" spans="4:4" x14ac:dyDescent="0.25">
      <c r="D379" s="6"/>
    </row>
    <row r="380" spans="4:4" x14ac:dyDescent="0.25">
      <c r="D380" s="6"/>
    </row>
    <row r="381" spans="4:4" x14ac:dyDescent="0.25">
      <c r="D381" s="6"/>
    </row>
    <row r="382" spans="4:4" x14ac:dyDescent="0.25">
      <c r="D382" s="6"/>
    </row>
    <row r="383" spans="4:4" x14ac:dyDescent="0.25">
      <c r="D383" s="6"/>
    </row>
    <row r="384" spans="4:4" x14ac:dyDescent="0.25">
      <c r="D384" s="6"/>
    </row>
    <row r="385" spans="4:4" x14ac:dyDescent="0.25">
      <c r="D385" s="6"/>
    </row>
    <row r="386" spans="4:4" x14ac:dyDescent="0.25">
      <c r="D386" s="6"/>
    </row>
    <row r="387" spans="4:4" x14ac:dyDescent="0.25">
      <c r="D387" s="6"/>
    </row>
    <row r="388" spans="4:4" x14ac:dyDescent="0.25">
      <c r="D388" s="6"/>
    </row>
    <row r="389" spans="4:4" x14ac:dyDescent="0.25">
      <c r="D389" s="6"/>
    </row>
    <row r="390" spans="4:4" x14ac:dyDescent="0.25">
      <c r="D390" s="6"/>
    </row>
    <row r="391" spans="4:4" x14ac:dyDescent="0.25">
      <c r="D391" s="6"/>
    </row>
    <row r="392" spans="4:4" x14ac:dyDescent="0.25">
      <c r="D392" s="6"/>
    </row>
    <row r="393" spans="4:4" x14ac:dyDescent="0.25">
      <c r="D393" s="6"/>
    </row>
    <row r="394" spans="4:4" x14ac:dyDescent="0.25">
      <c r="D394" s="6"/>
    </row>
    <row r="395" spans="4:4" x14ac:dyDescent="0.25">
      <c r="D395" s="6"/>
    </row>
    <row r="396" spans="4:4" x14ac:dyDescent="0.25">
      <c r="D396" s="6"/>
    </row>
    <row r="397" spans="4:4" x14ac:dyDescent="0.25">
      <c r="D397" s="6"/>
    </row>
    <row r="398" spans="4:4" x14ac:dyDescent="0.25">
      <c r="D398" s="6"/>
    </row>
    <row r="399" spans="4:4" x14ac:dyDescent="0.25">
      <c r="D399" s="6"/>
    </row>
    <row r="400" spans="4:4" x14ac:dyDescent="0.25">
      <c r="D400" s="6"/>
    </row>
    <row r="401" spans="4:4" x14ac:dyDescent="0.25">
      <c r="D401" s="6"/>
    </row>
    <row r="402" spans="4:4" x14ac:dyDescent="0.25">
      <c r="D402" s="6"/>
    </row>
    <row r="403" spans="4:4" x14ac:dyDescent="0.25">
      <c r="D403" s="6"/>
    </row>
    <row r="404" spans="4:4" x14ac:dyDescent="0.25">
      <c r="D404" s="6"/>
    </row>
    <row r="405" spans="4:4" x14ac:dyDescent="0.25">
      <c r="D405" s="6"/>
    </row>
    <row r="406" spans="4:4" x14ac:dyDescent="0.25">
      <c r="D406" s="6"/>
    </row>
    <row r="407" spans="4:4" x14ac:dyDescent="0.25">
      <c r="D407" s="6"/>
    </row>
    <row r="408" spans="4:4" x14ac:dyDescent="0.25">
      <c r="D408" s="6"/>
    </row>
    <row r="409" spans="4:4" x14ac:dyDescent="0.25">
      <c r="D409" s="6"/>
    </row>
    <row r="410" spans="4:4" x14ac:dyDescent="0.25">
      <c r="D410" s="6"/>
    </row>
    <row r="411" spans="4:4" x14ac:dyDescent="0.25">
      <c r="D411" s="6"/>
    </row>
    <row r="412" spans="4:4" x14ac:dyDescent="0.25">
      <c r="D412" s="6"/>
    </row>
    <row r="413" spans="4:4" x14ac:dyDescent="0.25">
      <c r="D413" s="6"/>
    </row>
    <row r="414" spans="4:4" x14ac:dyDescent="0.25">
      <c r="D414" s="6"/>
    </row>
    <row r="415" spans="4:4" x14ac:dyDescent="0.25">
      <c r="D415" s="6"/>
    </row>
    <row r="416" spans="4:4" x14ac:dyDescent="0.25">
      <c r="D416" s="6"/>
    </row>
    <row r="417" spans="4:4" x14ac:dyDescent="0.25">
      <c r="D417" s="6"/>
    </row>
    <row r="418" spans="4:4" x14ac:dyDescent="0.25">
      <c r="D418" s="6"/>
    </row>
    <row r="419" spans="4:4" x14ac:dyDescent="0.25">
      <c r="D419" s="6"/>
    </row>
    <row r="420" spans="4:4" x14ac:dyDescent="0.25">
      <c r="D420" s="6"/>
    </row>
    <row r="421" spans="4:4" x14ac:dyDescent="0.25">
      <c r="D421" s="6"/>
    </row>
    <row r="422" spans="4:4" x14ac:dyDescent="0.25">
      <c r="D422" s="6"/>
    </row>
    <row r="423" spans="4:4" x14ac:dyDescent="0.25">
      <c r="D423" s="6"/>
    </row>
    <row r="424" spans="4:4" x14ac:dyDescent="0.25">
      <c r="D424" s="6"/>
    </row>
    <row r="425" spans="4:4" x14ac:dyDescent="0.25">
      <c r="D425" s="6"/>
    </row>
    <row r="426" spans="4:4" x14ac:dyDescent="0.25">
      <c r="D426" s="6"/>
    </row>
    <row r="427" spans="4:4" x14ac:dyDescent="0.25">
      <c r="D427" s="6"/>
    </row>
    <row r="428" spans="4:4" x14ac:dyDescent="0.25">
      <c r="D428" s="6"/>
    </row>
    <row r="429" spans="4:4" x14ac:dyDescent="0.25">
      <c r="D429" s="6"/>
    </row>
    <row r="430" spans="4:4" x14ac:dyDescent="0.25">
      <c r="D430" s="6"/>
    </row>
    <row r="431" spans="4:4" x14ac:dyDescent="0.25">
      <c r="D431" s="6"/>
    </row>
    <row r="432" spans="4:4" x14ac:dyDescent="0.25">
      <c r="D432" s="6"/>
    </row>
    <row r="433" spans="4:4" x14ac:dyDescent="0.25">
      <c r="D433" s="6"/>
    </row>
    <row r="434" spans="4:4" x14ac:dyDescent="0.25">
      <c r="D434" s="6"/>
    </row>
    <row r="435" spans="4:4" x14ac:dyDescent="0.25">
      <c r="D435" s="6"/>
    </row>
    <row r="436" spans="4:4" x14ac:dyDescent="0.25">
      <c r="D436" s="6"/>
    </row>
    <row r="437" spans="4:4" x14ac:dyDescent="0.25">
      <c r="D437" s="6"/>
    </row>
    <row r="438" spans="4:4" x14ac:dyDescent="0.25">
      <c r="D438" s="6"/>
    </row>
    <row r="439" spans="4:4" x14ac:dyDescent="0.25">
      <c r="D439" s="6"/>
    </row>
    <row r="440" spans="4:4" x14ac:dyDescent="0.25">
      <c r="D440" s="6"/>
    </row>
    <row r="441" spans="4:4" x14ac:dyDescent="0.25">
      <c r="D441" s="6"/>
    </row>
    <row r="442" spans="4:4" x14ac:dyDescent="0.25">
      <c r="D442" s="6"/>
    </row>
    <row r="443" spans="4:4" x14ac:dyDescent="0.25">
      <c r="D443" s="6"/>
    </row>
    <row r="444" spans="4:4" x14ac:dyDescent="0.25">
      <c r="D444" s="6"/>
    </row>
    <row r="445" spans="4:4" x14ac:dyDescent="0.25">
      <c r="D445" s="6"/>
    </row>
    <row r="446" spans="4:4" x14ac:dyDescent="0.25">
      <c r="D446" s="6"/>
    </row>
    <row r="447" spans="4:4" x14ac:dyDescent="0.25">
      <c r="D447" s="6"/>
    </row>
    <row r="448" spans="4:4" x14ac:dyDescent="0.25">
      <c r="D448" s="6"/>
    </row>
    <row r="449" spans="4:4" x14ac:dyDescent="0.25">
      <c r="D449" s="6"/>
    </row>
    <row r="450" spans="4:4" x14ac:dyDescent="0.25">
      <c r="D450" s="6"/>
    </row>
    <row r="451" spans="4:4" x14ac:dyDescent="0.25">
      <c r="D451" s="6"/>
    </row>
    <row r="452" spans="4:4" x14ac:dyDescent="0.25">
      <c r="D452" s="6"/>
    </row>
    <row r="453" spans="4:4" x14ac:dyDescent="0.25">
      <c r="D453" s="6"/>
    </row>
    <row r="454" spans="4:4" x14ac:dyDescent="0.25">
      <c r="D454" s="6"/>
    </row>
    <row r="455" spans="4:4" x14ac:dyDescent="0.25">
      <c r="D455" s="6"/>
    </row>
    <row r="456" spans="4:4" x14ac:dyDescent="0.25">
      <c r="D456" s="6"/>
    </row>
    <row r="457" spans="4:4" x14ac:dyDescent="0.25">
      <c r="D457" s="6"/>
    </row>
    <row r="458" spans="4:4" x14ac:dyDescent="0.25">
      <c r="D458" s="6"/>
    </row>
    <row r="459" spans="4:4" x14ac:dyDescent="0.25">
      <c r="D459" s="6"/>
    </row>
    <row r="460" spans="4:4" x14ac:dyDescent="0.25">
      <c r="D460" s="6"/>
    </row>
    <row r="461" spans="4:4" x14ac:dyDescent="0.25">
      <c r="D461" s="6"/>
    </row>
    <row r="462" spans="4:4" x14ac:dyDescent="0.25">
      <c r="D462" s="6"/>
    </row>
    <row r="463" spans="4:4" x14ac:dyDescent="0.25">
      <c r="D463" s="6"/>
    </row>
    <row r="464" spans="4:4" x14ac:dyDescent="0.25">
      <c r="D464" s="6"/>
    </row>
    <row r="465" spans="4:4" x14ac:dyDescent="0.25">
      <c r="D465" s="6"/>
    </row>
    <row r="466" spans="4:4" x14ac:dyDescent="0.25">
      <c r="D466" s="6"/>
    </row>
    <row r="467" spans="4:4" x14ac:dyDescent="0.25">
      <c r="D467" s="6"/>
    </row>
    <row r="468" spans="4:4" x14ac:dyDescent="0.25">
      <c r="D468" s="6"/>
    </row>
    <row r="469" spans="4:4" x14ac:dyDescent="0.25">
      <c r="D469" s="6"/>
    </row>
    <row r="470" spans="4:4" x14ac:dyDescent="0.25">
      <c r="D470" s="6"/>
    </row>
    <row r="471" spans="4:4" x14ac:dyDescent="0.25">
      <c r="D471" s="6"/>
    </row>
    <row r="472" spans="4:4" x14ac:dyDescent="0.25">
      <c r="D472" s="6"/>
    </row>
    <row r="473" spans="4:4" x14ac:dyDescent="0.25">
      <c r="D473" s="6"/>
    </row>
    <row r="474" spans="4:4" x14ac:dyDescent="0.25">
      <c r="D474" s="6"/>
    </row>
    <row r="475" spans="4:4" x14ac:dyDescent="0.25">
      <c r="D475" s="6"/>
    </row>
    <row r="476" spans="4:4" x14ac:dyDescent="0.25">
      <c r="D476" s="6"/>
    </row>
    <row r="477" spans="4:4" x14ac:dyDescent="0.25">
      <c r="D477" s="6"/>
    </row>
    <row r="478" spans="4:4" x14ac:dyDescent="0.25">
      <c r="D478" s="6"/>
    </row>
    <row r="479" spans="4:4" x14ac:dyDescent="0.25">
      <c r="D479" s="6"/>
    </row>
    <row r="480" spans="4:4" x14ac:dyDescent="0.25">
      <c r="D480" s="6"/>
    </row>
    <row r="481" spans="4:4" x14ac:dyDescent="0.25">
      <c r="D481" s="6"/>
    </row>
    <row r="482" spans="4:4" x14ac:dyDescent="0.25">
      <c r="D482" s="6"/>
    </row>
    <row r="483" spans="4:4" x14ac:dyDescent="0.25">
      <c r="D483" s="6"/>
    </row>
    <row r="484" spans="4:4" x14ac:dyDescent="0.25">
      <c r="D484" s="6"/>
    </row>
    <row r="485" spans="4:4" x14ac:dyDescent="0.25">
      <c r="D485" s="6"/>
    </row>
    <row r="486" spans="4:4" x14ac:dyDescent="0.25">
      <c r="D486" s="6"/>
    </row>
    <row r="487" spans="4:4" x14ac:dyDescent="0.25">
      <c r="D487" s="6"/>
    </row>
    <row r="488" spans="4:4" x14ac:dyDescent="0.25">
      <c r="D488" s="6"/>
    </row>
    <row r="489" spans="4:4" x14ac:dyDescent="0.25">
      <c r="D489" s="6"/>
    </row>
    <row r="490" spans="4:4" x14ac:dyDescent="0.25">
      <c r="D490" s="6"/>
    </row>
    <row r="491" spans="4:4" x14ac:dyDescent="0.25">
      <c r="D491" s="6"/>
    </row>
    <row r="492" spans="4:4" x14ac:dyDescent="0.25">
      <c r="D492" s="6"/>
    </row>
    <row r="493" spans="4:4" x14ac:dyDescent="0.25">
      <c r="D493" s="6"/>
    </row>
    <row r="494" spans="4:4" x14ac:dyDescent="0.25">
      <c r="D494" s="6"/>
    </row>
    <row r="495" spans="4:4" x14ac:dyDescent="0.25">
      <c r="D495" s="6"/>
    </row>
    <row r="496" spans="4:4" x14ac:dyDescent="0.25">
      <c r="D496" s="6"/>
    </row>
    <row r="497" spans="4:4" x14ac:dyDescent="0.25">
      <c r="D497" s="6"/>
    </row>
    <row r="498" spans="4:4" x14ac:dyDescent="0.25">
      <c r="D498" s="6"/>
    </row>
    <row r="499" spans="4:4" x14ac:dyDescent="0.25">
      <c r="D499" s="6"/>
    </row>
    <row r="500" spans="4:4" x14ac:dyDescent="0.25">
      <c r="D500" s="6"/>
    </row>
    <row r="501" spans="4:4" x14ac:dyDescent="0.25">
      <c r="D501" s="6"/>
    </row>
    <row r="502" spans="4:4" x14ac:dyDescent="0.25">
      <c r="D502" s="6"/>
    </row>
    <row r="503" spans="4:4" x14ac:dyDescent="0.25">
      <c r="D503" s="6"/>
    </row>
    <row r="504" spans="4:4" x14ac:dyDescent="0.25">
      <c r="D504" s="6"/>
    </row>
    <row r="505" spans="4:4" x14ac:dyDescent="0.25">
      <c r="D505" s="6"/>
    </row>
    <row r="506" spans="4:4" x14ac:dyDescent="0.25">
      <c r="D506" s="6"/>
    </row>
    <row r="507" spans="4:4" x14ac:dyDescent="0.25">
      <c r="D507" s="6"/>
    </row>
    <row r="508" spans="4:4" x14ac:dyDescent="0.25">
      <c r="D508" s="6"/>
    </row>
    <row r="509" spans="4:4" x14ac:dyDescent="0.25">
      <c r="D509" s="6"/>
    </row>
    <row r="510" spans="4:4" x14ac:dyDescent="0.25">
      <c r="D510" s="6"/>
    </row>
    <row r="511" spans="4:4" x14ac:dyDescent="0.25">
      <c r="D511" s="6"/>
    </row>
    <row r="512" spans="4:4" x14ac:dyDescent="0.25">
      <c r="D512" s="6"/>
    </row>
    <row r="513" spans="4:4" x14ac:dyDescent="0.25">
      <c r="D513" s="6"/>
    </row>
    <row r="514" spans="4:4" x14ac:dyDescent="0.25">
      <c r="D514" s="6"/>
    </row>
    <row r="515" spans="4:4" x14ac:dyDescent="0.25">
      <c r="D515" s="6"/>
    </row>
    <row r="516" spans="4:4" x14ac:dyDescent="0.25">
      <c r="D516" s="6"/>
    </row>
    <row r="517" spans="4:4" x14ac:dyDescent="0.25">
      <c r="D517" s="6"/>
    </row>
    <row r="518" spans="4:4" x14ac:dyDescent="0.25">
      <c r="D518" s="6"/>
    </row>
    <row r="519" spans="4:4" x14ac:dyDescent="0.25">
      <c r="D519" s="6"/>
    </row>
    <row r="520" spans="4:4" x14ac:dyDescent="0.25">
      <c r="D520" s="6"/>
    </row>
    <row r="521" spans="4:4" x14ac:dyDescent="0.25">
      <c r="D521" s="6"/>
    </row>
    <row r="522" spans="4:4" x14ac:dyDescent="0.25">
      <c r="D522" s="6"/>
    </row>
    <row r="523" spans="4:4" x14ac:dyDescent="0.25">
      <c r="D523" s="6"/>
    </row>
    <row r="524" spans="4:4" x14ac:dyDescent="0.25">
      <c r="D524" s="6"/>
    </row>
    <row r="525" spans="4:4" x14ac:dyDescent="0.25">
      <c r="D525" s="6"/>
    </row>
    <row r="526" spans="4:4" x14ac:dyDescent="0.25">
      <c r="D526" s="6"/>
    </row>
    <row r="527" spans="4:4" x14ac:dyDescent="0.25">
      <c r="D527" s="6"/>
    </row>
    <row r="528" spans="4:4" x14ac:dyDescent="0.25">
      <c r="D528" s="6"/>
    </row>
    <row r="529" spans="4:4" x14ac:dyDescent="0.25">
      <c r="D529" s="6"/>
    </row>
    <row r="530" spans="4:4" x14ac:dyDescent="0.25">
      <c r="D530" s="6"/>
    </row>
    <row r="531" spans="4:4" x14ac:dyDescent="0.25">
      <c r="D531" s="6"/>
    </row>
    <row r="532" spans="4:4" x14ac:dyDescent="0.25">
      <c r="D532" s="6"/>
    </row>
    <row r="533" spans="4:4" x14ac:dyDescent="0.25">
      <c r="D533" s="6"/>
    </row>
    <row r="534" spans="4:4" x14ac:dyDescent="0.25">
      <c r="D534" s="6"/>
    </row>
    <row r="535" spans="4:4" x14ac:dyDescent="0.25">
      <c r="D535" s="6"/>
    </row>
    <row r="536" spans="4:4" x14ac:dyDescent="0.25">
      <c r="D536" s="6"/>
    </row>
    <row r="537" spans="4:4" x14ac:dyDescent="0.25">
      <c r="D537" s="6"/>
    </row>
    <row r="538" spans="4:4" x14ac:dyDescent="0.25">
      <c r="D538" s="6"/>
    </row>
    <row r="539" spans="4:4" x14ac:dyDescent="0.25">
      <c r="D539" s="6"/>
    </row>
    <row r="540" spans="4:4" x14ac:dyDescent="0.25">
      <c r="D540" s="6"/>
    </row>
    <row r="541" spans="4:4" x14ac:dyDescent="0.25">
      <c r="D541" s="6"/>
    </row>
    <row r="542" spans="4:4" x14ac:dyDescent="0.25">
      <c r="D542" s="6"/>
    </row>
    <row r="543" spans="4:4" x14ac:dyDescent="0.25">
      <c r="D543" s="6"/>
    </row>
    <row r="544" spans="4:4" x14ac:dyDescent="0.25">
      <c r="D544" s="6"/>
    </row>
    <row r="545" spans="4:4" x14ac:dyDescent="0.25">
      <c r="D545" s="6"/>
    </row>
    <row r="546" spans="4:4" x14ac:dyDescent="0.25">
      <c r="D546" s="6"/>
    </row>
    <row r="547" spans="4:4" x14ac:dyDescent="0.25">
      <c r="D547" s="6"/>
    </row>
    <row r="548" spans="4:4" x14ac:dyDescent="0.25">
      <c r="D548" s="6"/>
    </row>
    <row r="549" spans="4:4" x14ac:dyDescent="0.25">
      <c r="D549" s="6"/>
    </row>
    <row r="550" spans="4:4" x14ac:dyDescent="0.25">
      <c r="D550" s="6"/>
    </row>
    <row r="551" spans="4:4" x14ac:dyDescent="0.25">
      <c r="D551" s="6"/>
    </row>
    <row r="552" spans="4:4" x14ac:dyDescent="0.25">
      <c r="D552" s="6"/>
    </row>
    <row r="553" spans="4:4" x14ac:dyDescent="0.25">
      <c r="D553" s="6"/>
    </row>
    <row r="554" spans="4:4" x14ac:dyDescent="0.25">
      <c r="D554" s="6"/>
    </row>
    <row r="555" spans="4:4" x14ac:dyDescent="0.25">
      <c r="D555" s="6"/>
    </row>
    <row r="556" spans="4:4" x14ac:dyDescent="0.25">
      <c r="D556" s="6"/>
    </row>
    <row r="557" spans="4:4" x14ac:dyDescent="0.25">
      <c r="D557" s="6"/>
    </row>
    <row r="558" spans="4:4" x14ac:dyDescent="0.25">
      <c r="D558" s="6"/>
    </row>
    <row r="559" spans="4:4" x14ac:dyDescent="0.25">
      <c r="D559" s="6"/>
    </row>
    <row r="560" spans="4:4" x14ac:dyDescent="0.25">
      <c r="D560" s="6"/>
    </row>
    <row r="561" spans="4:4" x14ac:dyDescent="0.25">
      <c r="D561" s="6"/>
    </row>
    <row r="562" spans="4:4" x14ac:dyDescent="0.25">
      <c r="D562" s="6"/>
    </row>
    <row r="563" spans="4:4" x14ac:dyDescent="0.25">
      <c r="D563" s="6"/>
    </row>
    <row r="564" spans="4:4" x14ac:dyDescent="0.25">
      <c r="D564" s="6"/>
    </row>
    <row r="565" spans="4:4" x14ac:dyDescent="0.25">
      <c r="D565" s="6"/>
    </row>
    <row r="566" spans="4:4" x14ac:dyDescent="0.25">
      <c r="D566" s="6"/>
    </row>
    <row r="567" spans="4:4" x14ac:dyDescent="0.25">
      <c r="D567" s="6"/>
    </row>
    <row r="568" spans="4:4" x14ac:dyDescent="0.25">
      <c r="D568" s="6"/>
    </row>
    <row r="569" spans="4:4" x14ac:dyDescent="0.25">
      <c r="D569" s="6"/>
    </row>
    <row r="570" spans="4:4" x14ac:dyDescent="0.25">
      <c r="D570" s="6"/>
    </row>
    <row r="571" spans="4:4" x14ac:dyDescent="0.25">
      <c r="D571" s="6"/>
    </row>
    <row r="572" spans="4:4" x14ac:dyDescent="0.25">
      <c r="D572" s="6"/>
    </row>
    <row r="573" spans="4:4" x14ac:dyDescent="0.25">
      <c r="D573" s="6"/>
    </row>
    <row r="574" spans="4:4" x14ac:dyDescent="0.25">
      <c r="D574" s="6"/>
    </row>
    <row r="575" spans="4:4" x14ac:dyDescent="0.25">
      <c r="D575" s="6"/>
    </row>
    <row r="576" spans="4:4" x14ac:dyDescent="0.25">
      <c r="D576" s="6"/>
    </row>
    <row r="577" spans="4:4" x14ac:dyDescent="0.25">
      <c r="D577" s="6"/>
    </row>
    <row r="578" spans="4:4" x14ac:dyDescent="0.25">
      <c r="D578" s="6"/>
    </row>
    <row r="579" spans="4:4" x14ac:dyDescent="0.25">
      <c r="D579" s="6"/>
    </row>
    <row r="580" spans="4:4" x14ac:dyDescent="0.25">
      <c r="D580" s="6"/>
    </row>
    <row r="581" spans="4:4" x14ac:dyDescent="0.25">
      <c r="D581" s="6"/>
    </row>
    <row r="582" spans="4:4" x14ac:dyDescent="0.25">
      <c r="D582" s="6"/>
    </row>
    <row r="583" spans="4:4" x14ac:dyDescent="0.25">
      <c r="D583" s="6"/>
    </row>
    <row r="584" spans="4:4" x14ac:dyDescent="0.25">
      <c r="D584" s="6"/>
    </row>
    <row r="585" spans="4:4" x14ac:dyDescent="0.25">
      <c r="D585" s="6"/>
    </row>
    <row r="586" spans="4:4" x14ac:dyDescent="0.25">
      <c r="D586" s="6"/>
    </row>
    <row r="587" spans="4:4" x14ac:dyDescent="0.25">
      <c r="D587" s="6"/>
    </row>
    <row r="588" spans="4:4" x14ac:dyDescent="0.25">
      <c r="D588" s="6"/>
    </row>
    <row r="589" spans="4:4" x14ac:dyDescent="0.25">
      <c r="D589" s="6"/>
    </row>
    <row r="590" spans="4:4" x14ac:dyDescent="0.25">
      <c r="D590" s="6"/>
    </row>
    <row r="591" spans="4:4" x14ac:dyDescent="0.25">
      <c r="D591" s="6"/>
    </row>
    <row r="592" spans="4:4" x14ac:dyDescent="0.25">
      <c r="D592" s="6"/>
    </row>
    <row r="593" spans="4:4" x14ac:dyDescent="0.25">
      <c r="D593" s="6"/>
    </row>
    <row r="594" spans="4:4" x14ac:dyDescent="0.25">
      <c r="D594" s="6"/>
    </row>
    <row r="595" spans="4:4" x14ac:dyDescent="0.25">
      <c r="D595" s="6"/>
    </row>
    <row r="596" spans="4:4" x14ac:dyDescent="0.25">
      <c r="D596" s="6"/>
    </row>
    <row r="597" spans="4:4" x14ac:dyDescent="0.25">
      <c r="D597" s="6"/>
    </row>
    <row r="598" spans="4:4" x14ac:dyDescent="0.25">
      <c r="D598" s="6"/>
    </row>
    <row r="599" spans="4:4" x14ac:dyDescent="0.25">
      <c r="D599" s="6"/>
    </row>
    <row r="600" spans="4:4" x14ac:dyDescent="0.25">
      <c r="D600" s="6"/>
    </row>
    <row r="601" spans="4:4" x14ac:dyDescent="0.25">
      <c r="D601" s="6"/>
    </row>
    <row r="602" spans="4:4" x14ac:dyDescent="0.25">
      <c r="D602" s="6"/>
    </row>
    <row r="603" spans="4:4" x14ac:dyDescent="0.25">
      <c r="D603" s="6"/>
    </row>
    <row r="604" spans="4:4" x14ac:dyDescent="0.25">
      <c r="D604" s="6"/>
    </row>
    <row r="605" spans="4:4" x14ac:dyDescent="0.25">
      <c r="D605" s="6"/>
    </row>
    <row r="606" spans="4:4" x14ac:dyDescent="0.25">
      <c r="D606" s="6"/>
    </row>
    <row r="607" spans="4:4" x14ac:dyDescent="0.25">
      <c r="D607" s="6"/>
    </row>
    <row r="608" spans="4:4" x14ac:dyDescent="0.25">
      <c r="D608" s="6"/>
    </row>
    <row r="609" spans="4:4" x14ac:dyDescent="0.25">
      <c r="D609" s="6"/>
    </row>
    <row r="610" spans="4:4" x14ac:dyDescent="0.25">
      <c r="D610" s="6"/>
    </row>
    <row r="611" spans="4:4" x14ac:dyDescent="0.25">
      <c r="D611" s="6"/>
    </row>
    <row r="612" spans="4:4" x14ac:dyDescent="0.25">
      <c r="D612" s="6"/>
    </row>
    <row r="613" spans="4:4" x14ac:dyDescent="0.25">
      <c r="D613" s="6"/>
    </row>
    <row r="614" spans="4:4" x14ac:dyDescent="0.25">
      <c r="D614" s="6"/>
    </row>
    <row r="615" spans="4:4" x14ac:dyDescent="0.25">
      <c r="D615" s="6"/>
    </row>
    <row r="616" spans="4:4" x14ac:dyDescent="0.25">
      <c r="D616" s="6"/>
    </row>
    <row r="617" spans="4:4" x14ac:dyDescent="0.25">
      <c r="D617" s="6"/>
    </row>
    <row r="618" spans="4:4" x14ac:dyDescent="0.25">
      <c r="D618" s="6"/>
    </row>
    <row r="619" spans="4:4" x14ac:dyDescent="0.25">
      <c r="D619" s="6"/>
    </row>
    <row r="620" spans="4:4" x14ac:dyDescent="0.25">
      <c r="D620" s="6"/>
    </row>
    <row r="621" spans="4:4" x14ac:dyDescent="0.25">
      <c r="D621" s="6"/>
    </row>
    <row r="622" spans="4:4" x14ac:dyDescent="0.25">
      <c r="D622" s="6"/>
    </row>
    <row r="623" spans="4:4" x14ac:dyDescent="0.25">
      <c r="D623" s="6"/>
    </row>
    <row r="624" spans="4:4" x14ac:dyDescent="0.25">
      <c r="D624" s="6"/>
    </row>
    <row r="625" spans="4:4" x14ac:dyDescent="0.25">
      <c r="D625" s="6"/>
    </row>
    <row r="626" spans="4:4" x14ac:dyDescent="0.25">
      <c r="D626" s="6"/>
    </row>
    <row r="627" spans="4:4" x14ac:dyDescent="0.25">
      <c r="D627" s="6"/>
    </row>
    <row r="628" spans="4:4" x14ac:dyDescent="0.25">
      <c r="D628" s="6"/>
    </row>
    <row r="629" spans="4:4" x14ac:dyDescent="0.25">
      <c r="D629" s="6"/>
    </row>
    <row r="630" spans="4:4" x14ac:dyDescent="0.25">
      <c r="D630" s="6"/>
    </row>
    <row r="631" spans="4:4" x14ac:dyDescent="0.25">
      <c r="D631" s="6"/>
    </row>
    <row r="632" spans="4:4" x14ac:dyDescent="0.25">
      <c r="D632" s="6"/>
    </row>
    <row r="633" spans="4:4" x14ac:dyDescent="0.25">
      <c r="D633" s="6"/>
    </row>
    <row r="634" spans="4:4" x14ac:dyDescent="0.25">
      <c r="D634" s="6"/>
    </row>
    <row r="635" spans="4:4" x14ac:dyDescent="0.25">
      <c r="D635" s="6"/>
    </row>
    <row r="636" spans="4:4" x14ac:dyDescent="0.25">
      <c r="D636" s="6"/>
    </row>
    <row r="637" spans="4:4" x14ac:dyDescent="0.25">
      <c r="D637" s="6"/>
    </row>
    <row r="638" spans="4:4" x14ac:dyDescent="0.25">
      <c r="D638" s="6"/>
    </row>
    <row r="639" spans="4:4" x14ac:dyDescent="0.25">
      <c r="D639" s="6"/>
    </row>
    <row r="640" spans="4:4" x14ac:dyDescent="0.25">
      <c r="D640" s="6"/>
    </row>
    <row r="641" spans="4:4" x14ac:dyDescent="0.25">
      <c r="D641" s="6"/>
    </row>
    <row r="642" spans="4:4" x14ac:dyDescent="0.25">
      <c r="D642" s="6"/>
    </row>
    <row r="643" spans="4:4" x14ac:dyDescent="0.25">
      <c r="D643" s="6"/>
    </row>
    <row r="644" spans="4:4" x14ac:dyDescent="0.25">
      <c r="D644" s="6"/>
    </row>
    <row r="645" spans="4:4" x14ac:dyDescent="0.25">
      <c r="D645" s="6"/>
    </row>
    <row r="646" spans="4:4" x14ac:dyDescent="0.25">
      <c r="D646" s="6"/>
    </row>
    <row r="647" spans="4:4" x14ac:dyDescent="0.25">
      <c r="D647" s="6"/>
    </row>
    <row r="648" spans="4:4" x14ac:dyDescent="0.25">
      <c r="D648" s="6"/>
    </row>
    <row r="649" spans="4:4" x14ac:dyDescent="0.25">
      <c r="D649" s="6"/>
    </row>
    <row r="650" spans="4:4" x14ac:dyDescent="0.25">
      <c r="D650" s="6"/>
    </row>
    <row r="651" spans="4:4" x14ac:dyDescent="0.25">
      <c r="D651" s="6"/>
    </row>
    <row r="652" spans="4:4" x14ac:dyDescent="0.25">
      <c r="D652" s="6"/>
    </row>
    <row r="653" spans="4:4" x14ac:dyDescent="0.25">
      <c r="D653" s="6"/>
    </row>
    <row r="654" spans="4:4" x14ac:dyDescent="0.25">
      <c r="D654" s="6"/>
    </row>
    <row r="655" spans="4:4" x14ac:dyDescent="0.25">
      <c r="D655" s="6"/>
    </row>
    <row r="656" spans="4:4" x14ac:dyDescent="0.25">
      <c r="D656" s="6"/>
    </row>
    <row r="657" spans="4:4" x14ac:dyDescent="0.25">
      <c r="D657" s="6"/>
    </row>
    <row r="658" spans="4:4" x14ac:dyDescent="0.25">
      <c r="D658" s="6"/>
    </row>
    <row r="659" spans="4:4" x14ac:dyDescent="0.25">
      <c r="D659" s="6"/>
    </row>
    <row r="660" spans="4:4" x14ac:dyDescent="0.25">
      <c r="D660" s="6"/>
    </row>
    <row r="661" spans="4:4" x14ac:dyDescent="0.25">
      <c r="D661" s="6"/>
    </row>
    <row r="662" spans="4:4" x14ac:dyDescent="0.25">
      <c r="D662" s="6"/>
    </row>
    <row r="663" spans="4:4" x14ac:dyDescent="0.25">
      <c r="D663" s="6"/>
    </row>
    <row r="664" spans="4:4" x14ac:dyDescent="0.25">
      <c r="D664" s="6"/>
    </row>
    <row r="665" spans="4:4" x14ac:dyDescent="0.25">
      <c r="D665" s="6"/>
    </row>
    <row r="666" spans="4:4" x14ac:dyDescent="0.25">
      <c r="D666" s="6"/>
    </row>
    <row r="667" spans="4:4" x14ac:dyDescent="0.25">
      <c r="D667" s="6"/>
    </row>
    <row r="668" spans="4:4" x14ac:dyDescent="0.25">
      <c r="D668" s="6"/>
    </row>
    <row r="669" spans="4:4" x14ac:dyDescent="0.25">
      <c r="D669" s="6"/>
    </row>
    <row r="670" spans="4:4" x14ac:dyDescent="0.25">
      <c r="D670" s="6"/>
    </row>
    <row r="671" spans="4:4" x14ac:dyDescent="0.25">
      <c r="D671" s="6"/>
    </row>
    <row r="672" spans="4:4" x14ac:dyDescent="0.25">
      <c r="D672" s="6"/>
    </row>
    <row r="673" spans="4:4" x14ac:dyDescent="0.25">
      <c r="D673" s="6"/>
    </row>
    <row r="674" spans="4:4" x14ac:dyDescent="0.25">
      <c r="D674" s="6"/>
    </row>
    <row r="675" spans="4:4" x14ac:dyDescent="0.25">
      <c r="D675" s="6"/>
    </row>
    <row r="676" spans="4:4" x14ac:dyDescent="0.25">
      <c r="D676" s="6"/>
    </row>
    <row r="677" spans="4:4" x14ac:dyDescent="0.25">
      <c r="D677" s="6"/>
    </row>
    <row r="678" spans="4:4" x14ac:dyDescent="0.25">
      <c r="D678" s="6"/>
    </row>
    <row r="679" spans="4:4" x14ac:dyDescent="0.25">
      <c r="D679" s="6"/>
    </row>
    <row r="680" spans="4:4" x14ac:dyDescent="0.25">
      <c r="D680" s="6"/>
    </row>
    <row r="681" spans="4:4" x14ac:dyDescent="0.25">
      <c r="D681" s="6"/>
    </row>
    <row r="682" spans="4:4" x14ac:dyDescent="0.25">
      <c r="D682" s="6"/>
    </row>
    <row r="683" spans="4:4" x14ac:dyDescent="0.25">
      <c r="D683" s="6"/>
    </row>
    <row r="684" spans="4:4" x14ac:dyDescent="0.25">
      <c r="D684" s="6"/>
    </row>
    <row r="685" spans="4:4" x14ac:dyDescent="0.25">
      <c r="D685" s="6"/>
    </row>
    <row r="686" spans="4:4" x14ac:dyDescent="0.25">
      <c r="D686" s="6"/>
    </row>
    <row r="687" spans="4:4" x14ac:dyDescent="0.25">
      <c r="D687" s="6"/>
    </row>
    <row r="688" spans="4:4" x14ac:dyDescent="0.25">
      <c r="D688" s="6"/>
    </row>
    <row r="689" spans="4:4" x14ac:dyDescent="0.25">
      <c r="D689" s="6"/>
    </row>
    <row r="690" spans="4:4" x14ac:dyDescent="0.25">
      <c r="D690" s="6"/>
    </row>
    <row r="691" spans="4:4" x14ac:dyDescent="0.25">
      <c r="D691" s="6"/>
    </row>
    <row r="692" spans="4:4" x14ac:dyDescent="0.25">
      <c r="D692" s="6"/>
    </row>
    <row r="693" spans="4:4" x14ac:dyDescent="0.25">
      <c r="D693" s="6"/>
    </row>
    <row r="694" spans="4:4" x14ac:dyDescent="0.25">
      <c r="D694" s="6"/>
    </row>
    <row r="695" spans="4:4" x14ac:dyDescent="0.25">
      <c r="D695" s="6"/>
    </row>
    <row r="696" spans="4:4" x14ac:dyDescent="0.25">
      <c r="D696" s="6"/>
    </row>
    <row r="697" spans="4:4" x14ac:dyDescent="0.25">
      <c r="D697" s="6"/>
    </row>
    <row r="698" spans="4:4" x14ac:dyDescent="0.25">
      <c r="D698" s="6"/>
    </row>
    <row r="699" spans="4:4" x14ac:dyDescent="0.25">
      <c r="D699" s="6"/>
    </row>
    <row r="700" spans="4:4" x14ac:dyDescent="0.25">
      <c r="D700" s="6"/>
    </row>
    <row r="701" spans="4:4" x14ac:dyDescent="0.25">
      <c r="D701" s="6"/>
    </row>
    <row r="702" spans="4:4" x14ac:dyDescent="0.25">
      <c r="D702" s="6"/>
    </row>
    <row r="703" spans="4:4" x14ac:dyDescent="0.25">
      <c r="D703" s="6"/>
    </row>
    <row r="704" spans="4:4" x14ac:dyDescent="0.25">
      <c r="D704" s="6"/>
    </row>
    <row r="705" spans="4:4" x14ac:dyDescent="0.25">
      <c r="D705" s="6"/>
    </row>
    <row r="706" spans="4:4" x14ac:dyDescent="0.25">
      <c r="D706" s="6"/>
    </row>
    <row r="707" spans="4:4" x14ac:dyDescent="0.25">
      <c r="D707" s="6"/>
    </row>
    <row r="708" spans="4:4" x14ac:dyDescent="0.25">
      <c r="D708" s="6"/>
    </row>
    <row r="709" spans="4:4" x14ac:dyDescent="0.25">
      <c r="D709" s="6"/>
    </row>
    <row r="710" spans="4:4" x14ac:dyDescent="0.25">
      <c r="D710" s="6"/>
    </row>
    <row r="711" spans="4:4" x14ac:dyDescent="0.25">
      <c r="D711" s="6"/>
    </row>
    <row r="712" spans="4:4" x14ac:dyDescent="0.25">
      <c r="D712" s="6"/>
    </row>
    <row r="713" spans="4:4" x14ac:dyDescent="0.25">
      <c r="D713" s="6"/>
    </row>
    <row r="714" spans="4:4" x14ac:dyDescent="0.25">
      <c r="D714" s="6"/>
    </row>
    <row r="715" spans="4:4" x14ac:dyDescent="0.25">
      <c r="D715" s="6"/>
    </row>
    <row r="716" spans="4:4" x14ac:dyDescent="0.25">
      <c r="D716" s="6"/>
    </row>
    <row r="717" spans="4:4" x14ac:dyDescent="0.25">
      <c r="D717" s="6"/>
    </row>
    <row r="718" spans="4:4" x14ac:dyDescent="0.25">
      <c r="D718" s="6"/>
    </row>
    <row r="719" spans="4:4" x14ac:dyDescent="0.25">
      <c r="D719" s="6"/>
    </row>
    <row r="720" spans="4:4" x14ac:dyDescent="0.25">
      <c r="D720" s="6"/>
    </row>
    <row r="721" spans="4:4" x14ac:dyDescent="0.25">
      <c r="D721" s="6"/>
    </row>
    <row r="722" spans="4:4" x14ac:dyDescent="0.25">
      <c r="D722" s="6"/>
    </row>
    <row r="723" spans="4:4" x14ac:dyDescent="0.25">
      <c r="D723" s="6"/>
    </row>
    <row r="724" spans="4:4" x14ac:dyDescent="0.25">
      <c r="D724" s="6"/>
    </row>
    <row r="725" spans="4:4" x14ac:dyDescent="0.25">
      <c r="D725" s="6"/>
    </row>
    <row r="726" spans="4:4" x14ac:dyDescent="0.25">
      <c r="D726" s="6"/>
    </row>
    <row r="727" spans="4:4" x14ac:dyDescent="0.25">
      <c r="D727" s="6"/>
    </row>
    <row r="728" spans="4:4" x14ac:dyDescent="0.25">
      <c r="D728" s="6"/>
    </row>
    <row r="729" spans="4:4" x14ac:dyDescent="0.25">
      <c r="D729" s="6"/>
    </row>
    <row r="730" spans="4:4" x14ac:dyDescent="0.25">
      <c r="D730" s="6"/>
    </row>
    <row r="731" spans="4:4" x14ac:dyDescent="0.25">
      <c r="D731" s="6"/>
    </row>
    <row r="732" spans="4:4" x14ac:dyDescent="0.25">
      <c r="D732" s="6"/>
    </row>
    <row r="733" spans="4:4" x14ac:dyDescent="0.25">
      <c r="D733" s="6"/>
    </row>
    <row r="734" spans="4:4" x14ac:dyDescent="0.25">
      <c r="D734" s="6"/>
    </row>
    <row r="735" spans="4:4" x14ac:dyDescent="0.25">
      <c r="D735" s="6"/>
    </row>
    <row r="736" spans="4:4" x14ac:dyDescent="0.25">
      <c r="D736" s="6"/>
    </row>
    <row r="737" spans="4:4" x14ac:dyDescent="0.25">
      <c r="D737" s="6"/>
    </row>
    <row r="738" spans="4:4" x14ac:dyDescent="0.25">
      <c r="D738" s="6"/>
    </row>
    <row r="739" spans="4:4" x14ac:dyDescent="0.25">
      <c r="D739" s="6"/>
    </row>
    <row r="740" spans="4:4" x14ac:dyDescent="0.25">
      <c r="D740" s="6"/>
    </row>
    <row r="741" spans="4:4" x14ac:dyDescent="0.25">
      <c r="D741" s="6"/>
    </row>
    <row r="742" spans="4:4" x14ac:dyDescent="0.25">
      <c r="D742" s="6"/>
    </row>
    <row r="743" spans="4:4" x14ac:dyDescent="0.25">
      <c r="D743" s="6"/>
    </row>
    <row r="744" spans="4:4" x14ac:dyDescent="0.25">
      <c r="D744" s="6"/>
    </row>
    <row r="745" spans="4:4" x14ac:dyDescent="0.25">
      <c r="D745" s="6"/>
    </row>
    <row r="746" spans="4:4" x14ac:dyDescent="0.25">
      <c r="D746" s="6"/>
    </row>
    <row r="747" spans="4:4" x14ac:dyDescent="0.25">
      <c r="D747" s="6"/>
    </row>
    <row r="748" spans="4:4" x14ac:dyDescent="0.25">
      <c r="D748" s="6"/>
    </row>
    <row r="749" spans="4:4" x14ac:dyDescent="0.25">
      <c r="D749" s="6"/>
    </row>
    <row r="750" spans="4:4" x14ac:dyDescent="0.25">
      <c r="D750" s="6"/>
    </row>
    <row r="751" spans="4:4" x14ac:dyDescent="0.25">
      <c r="D751" s="6"/>
    </row>
    <row r="752" spans="4:4" x14ac:dyDescent="0.25">
      <c r="D752" s="6"/>
    </row>
    <row r="753" spans="4:4" x14ac:dyDescent="0.25">
      <c r="D753" s="6"/>
    </row>
    <row r="754" spans="4:4" x14ac:dyDescent="0.25">
      <c r="D754" s="6"/>
    </row>
    <row r="755" spans="4:4" x14ac:dyDescent="0.25">
      <c r="D755" s="6"/>
    </row>
    <row r="756" spans="4:4" x14ac:dyDescent="0.25">
      <c r="D756" s="6"/>
    </row>
    <row r="757" spans="4:4" x14ac:dyDescent="0.25">
      <c r="D757" s="6"/>
    </row>
    <row r="758" spans="4:4" x14ac:dyDescent="0.25">
      <c r="D758" s="6"/>
    </row>
    <row r="759" spans="4:4" x14ac:dyDescent="0.25">
      <c r="D759" s="6"/>
    </row>
    <row r="760" spans="4:4" x14ac:dyDescent="0.25">
      <c r="D760" s="6"/>
    </row>
    <row r="761" spans="4:4" x14ac:dyDescent="0.25">
      <c r="D761" s="6"/>
    </row>
    <row r="762" spans="4:4" x14ac:dyDescent="0.25">
      <c r="D762" s="6"/>
    </row>
    <row r="763" spans="4:4" x14ac:dyDescent="0.25">
      <c r="D763" s="6"/>
    </row>
    <row r="764" spans="4:4" x14ac:dyDescent="0.25">
      <c r="D764" s="6"/>
    </row>
    <row r="765" spans="4:4" x14ac:dyDescent="0.25">
      <c r="D765" s="6"/>
    </row>
    <row r="766" spans="4:4" x14ac:dyDescent="0.25">
      <c r="D766" s="6"/>
    </row>
    <row r="767" spans="4:4" x14ac:dyDescent="0.25">
      <c r="D767" s="6"/>
    </row>
    <row r="768" spans="4:4" x14ac:dyDescent="0.25">
      <c r="D768" s="6"/>
    </row>
    <row r="769" spans="4:4" x14ac:dyDescent="0.25">
      <c r="D769" s="6"/>
    </row>
    <row r="770" spans="4:4" x14ac:dyDescent="0.25">
      <c r="D770" s="6"/>
    </row>
    <row r="771" spans="4:4" x14ac:dyDescent="0.25">
      <c r="D771" s="6"/>
    </row>
    <row r="772" spans="4:4" x14ac:dyDescent="0.25">
      <c r="D772" s="6"/>
    </row>
    <row r="773" spans="4:4" x14ac:dyDescent="0.25">
      <c r="D773" s="6"/>
    </row>
    <row r="774" spans="4:4" x14ac:dyDescent="0.25">
      <c r="D774" s="6"/>
    </row>
    <row r="775" spans="4:4" x14ac:dyDescent="0.25">
      <c r="D775" s="6"/>
    </row>
    <row r="776" spans="4:4" x14ac:dyDescent="0.25">
      <c r="D776" s="6"/>
    </row>
    <row r="777" spans="4:4" x14ac:dyDescent="0.25">
      <c r="D777" s="6"/>
    </row>
    <row r="778" spans="4:4" x14ac:dyDescent="0.25">
      <c r="D778" s="6"/>
    </row>
    <row r="779" spans="4:4" x14ac:dyDescent="0.25">
      <c r="D779" s="6"/>
    </row>
    <row r="780" spans="4:4" x14ac:dyDescent="0.25">
      <c r="D780" s="6"/>
    </row>
    <row r="781" spans="4:4" x14ac:dyDescent="0.25">
      <c r="D781" s="6"/>
    </row>
    <row r="782" spans="4:4" x14ac:dyDescent="0.25">
      <c r="D782" s="6"/>
    </row>
    <row r="783" spans="4:4" x14ac:dyDescent="0.25">
      <c r="D783" s="6"/>
    </row>
    <row r="784" spans="4:4" x14ac:dyDescent="0.25">
      <c r="D784" s="6"/>
    </row>
    <row r="785" spans="4:4" x14ac:dyDescent="0.25">
      <c r="D785" s="6"/>
    </row>
    <row r="786" spans="4:4" x14ac:dyDescent="0.25">
      <c r="D786" s="6"/>
    </row>
    <row r="787" spans="4:4" x14ac:dyDescent="0.25">
      <c r="D787" s="6"/>
    </row>
    <row r="788" spans="4:4" x14ac:dyDescent="0.25">
      <c r="D788" s="6"/>
    </row>
    <row r="789" spans="4:4" x14ac:dyDescent="0.25">
      <c r="D789" s="6"/>
    </row>
    <row r="790" spans="4:4" x14ac:dyDescent="0.25">
      <c r="D790" s="6"/>
    </row>
    <row r="791" spans="4:4" x14ac:dyDescent="0.25">
      <c r="D791" s="6"/>
    </row>
    <row r="792" spans="4:4" x14ac:dyDescent="0.25">
      <c r="D792" s="6"/>
    </row>
    <row r="793" spans="4:4" x14ac:dyDescent="0.25">
      <c r="D793" s="6"/>
    </row>
    <row r="794" spans="4:4" x14ac:dyDescent="0.25">
      <c r="D794" s="6"/>
    </row>
    <row r="795" spans="4:4" x14ac:dyDescent="0.25">
      <c r="D795" s="6"/>
    </row>
    <row r="796" spans="4:4" x14ac:dyDescent="0.25">
      <c r="D796" s="6"/>
    </row>
    <row r="797" spans="4:4" x14ac:dyDescent="0.25">
      <c r="D797" s="6"/>
    </row>
    <row r="798" spans="4:4" x14ac:dyDescent="0.25">
      <c r="D798" s="6"/>
    </row>
    <row r="799" spans="4:4" x14ac:dyDescent="0.25">
      <c r="D799" s="6"/>
    </row>
    <row r="800" spans="4:4" x14ac:dyDescent="0.25">
      <c r="D800" s="6"/>
    </row>
    <row r="801" spans="4:4" x14ac:dyDescent="0.25">
      <c r="D801" s="6"/>
    </row>
    <row r="802" spans="4:4" x14ac:dyDescent="0.25">
      <c r="D802" s="6"/>
    </row>
    <row r="803" spans="4:4" x14ac:dyDescent="0.25">
      <c r="D803" s="6"/>
    </row>
    <row r="804" spans="4:4" x14ac:dyDescent="0.25">
      <c r="D804" s="6"/>
    </row>
    <row r="805" spans="4:4" x14ac:dyDescent="0.25">
      <c r="D805" s="6"/>
    </row>
    <row r="806" spans="4:4" x14ac:dyDescent="0.25">
      <c r="D806" s="6"/>
    </row>
    <row r="807" spans="4:4" x14ac:dyDescent="0.25">
      <c r="D807" s="6"/>
    </row>
    <row r="808" spans="4:4" x14ac:dyDescent="0.25">
      <c r="D808" s="6"/>
    </row>
    <row r="809" spans="4:4" x14ac:dyDescent="0.25">
      <c r="D809" s="6"/>
    </row>
    <row r="810" spans="4:4" x14ac:dyDescent="0.25">
      <c r="D810" s="6"/>
    </row>
    <row r="811" spans="4:4" x14ac:dyDescent="0.25">
      <c r="D811" s="6"/>
    </row>
    <row r="812" spans="4:4" x14ac:dyDescent="0.25">
      <c r="D812" s="6"/>
    </row>
    <row r="813" spans="4:4" x14ac:dyDescent="0.25">
      <c r="D813" s="6"/>
    </row>
    <row r="814" spans="4:4" x14ac:dyDescent="0.25">
      <c r="D814" s="6"/>
    </row>
    <row r="815" spans="4:4" x14ac:dyDescent="0.25">
      <c r="D815" s="6"/>
    </row>
    <row r="816" spans="4:4" x14ac:dyDescent="0.25">
      <c r="D816" s="6"/>
    </row>
    <row r="817" spans="4:4" x14ac:dyDescent="0.25">
      <c r="D817" s="6"/>
    </row>
    <row r="818" spans="4:4" x14ac:dyDescent="0.25">
      <c r="D818" s="6"/>
    </row>
    <row r="819" spans="4:4" x14ac:dyDescent="0.25">
      <c r="D819" s="6"/>
    </row>
    <row r="820" spans="4:4" x14ac:dyDescent="0.25">
      <c r="D820" s="6"/>
    </row>
    <row r="821" spans="4:4" x14ac:dyDescent="0.25">
      <c r="D821" s="6"/>
    </row>
    <row r="822" spans="4:4" x14ac:dyDescent="0.25">
      <c r="D822" s="6"/>
    </row>
    <row r="823" spans="4:4" x14ac:dyDescent="0.25">
      <c r="D823" s="6"/>
    </row>
    <row r="824" spans="4:4" x14ac:dyDescent="0.25">
      <c r="D824" s="6"/>
    </row>
    <row r="825" spans="4:4" x14ac:dyDescent="0.25">
      <c r="D825" s="6"/>
    </row>
    <row r="826" spans="4:4" x14ac:dyDescent="0.25">
      <c r="D826" s="6"/>
    </row>
    <row r="827" spans="4:4" x14ac:dyDescent="0.25">
      <c r="D827" s="6"/>
    </row>
    <row r="828" spans="4:4" x14ac:dyDescent="0.25">
      <c r="D828" s="6"/>
    </row>
    <row r="829" spans="4:4" x14ac:dyDescent="0.25">
      <c r="D829" s="6"/>
    </row>
    <row r="830" spans="4:4" x14ac:dyDescent="0.25">
      <c r="D830" s="6"/>
    </row>
    <row r="831" spans="4:4" x14ac:dyDescent="0.25">
      <c r="D831" s="6"/>
    </row>
    <row r="832" spans="4:4" x14ac:dyDescent="0.25">
      <c r="D832" s="6"/>
    </row>
    <row r="833" spans="4:4" x14ac:dyDescent="0.25">
      <c r="D833" s="6"/>
    </row>
    <row r="834" spans="4:4" x14ac:dyDescent="0.25">
      <c r="D834" s="6"/>
    </row>
    <row r="835" spans="4:4" x14ac:dyDescent="0.25">
      <c r="D835" s="6"/>
    </row>
    <row r="836" spans="4:4" x14ac:dyDescent="0.25">
      <c r="D836" s="6"/>
    </row>
    <row r="837" spans="4:4" x14ac:dyDescent="0.25">
      <c r="D837" s="6"/>
    </row>
    <row r="838" spans="4:4" x14ac:dyDescent="0.25">
      <c r="D838" s="6"/>
    </row>
    <row r="839" spans="4:4" x14ac:dyDescent="0.25">
      <c r="D839" s="6"/>
    </row>
    <row r="840" spans="4:4" x14ac:dyDescent="0.25">
      <c r="D840" s="6"/>
    </row>
    <row r="841" spans="4:4" x14ac:dyDescent="0.25">
      <c r="D841" s="6"/>
    </row>
    <row r="842" spans="4:4" x14ac:dyDescent="0.25">
      <c r="D842" s="6"/>
    </row>
    <row r="843" spans="4:4" x14ac:dyDescent="0.25">
      <c r="D843" s="6"/>
    </row>
    <row r="844" spans="4:4" x14ac:dyDescent="0.25">
      <c r="D844" s="6"/>
    </row>
    <row r="845" spans="4:4" x14ac:dyDescent="0.25">
      <c r="D845" s="6"/>
    </row>
    <row r="846" spans="4:4" x14ac:dyDescent="0.25">
      <c r="D846" s="6"/>
    </row>
    <row r="847" spans="4:4" x14ac:dyDescent="0.25">
      <c r="D847" s="6"/>
    </row>
    <row r="848" spans="4:4" x14ac:dyDescent="0.25">
      <c r="D848" s="6"/>
    </row>
    <row r="849" spans="4:4" x14ac:dyDescent="0.25">
      <c r="D849" s="6"/>
    </row>
    <row r="850" spans="4:4" x14ac:dyDescent="0.25">
      <c r="D850" s="6"/>
    </row>
    <row r="851" spans="4:4" x14ac:dyDescent="0.25">
      <c r="D851" s="6"/>
    </row>
    <row r="852" spans="4:4" x14ac:dyDescent="0.25">
      <c r="D852" s="6"/>
    </row>
    <row r="853" spans="4:4" x14ac:dyDescent="0.25">
      <c r="D853" s="6"/>
    </row>
    <row r="854" spans="4:4" x14ac:dyDescent="0.25">
      <c r="D854" s="6"/>
    </row>
    <row r="855" spans="4:4" x14ac:dyDescent="0.25">
      <c r="D855" s="6"/>
    </row>
    <row r="856" spans="4:4" x14ac:dyDescent="0.25">
      <c r="D856" s="6"/>
    </row>
    <row r="857" spans="4:4" x14ac:dyDescent="0.25">
      <c r="D857" s="6"/>
    </row>
    <row r="858" spans="4:4" x14ac:dyDescent="0.25">
      <c r="D858" s="6"/>
    </row>
    <row r="859" spans="4:4" x14ac:dyDescent="0.25">
      <c r="D859" s="6"/>
    </row>
    <row r="860" spans="4:4" x14ac:dyDescent="0.25">
      <c r="D860" s="6"/>
    </row>
    <row r="861" spans="4:4" x14ac:dyDescent="0.25">
      <c r="D861" s="6"/>
    </row>
    <row r="862" spans="4:4" x14ac:dyDescent="0.25">
      <c r="D862" s="6"/>
    </row>
    <row r="863" spans="4:4" x14ac:dyDescent="0.25">
      <c r="D863" s="6"/>
    </row>
    <row r="864" spans="4:4" x14ac:dyDescent="0.25">
      <c r="D864" s="6"/>
    </row>
    <row r="865" spans="4:4" x14ac:dyDescent="0.25">
      <c r="D865" s="6"/>
    </row>
    <row r="866" spans="4:4" x14ac:dyDescent="0.25">
      <c r="D866" s="6"/>
    </row>
    <row r="867" spans="4:4" x14ac:dyDescent="0.25">
      <c r="D867" s="6"/>
    </row>
    <row r="868" spans="4:4" x14ac:dyDescent="0.25">
      <c r="D868" s="6"/>
    </row>
    <row r="869" spans="4:4" x14ac:dyDescent="0.25">
      <c r="D869" s="6"/>
    </row>
    <row r="870" spans="4:4" x14ac:dyDescent="0.25">
      <c r="D870" s="6"/>
    </row>
    <row r="871" spans="4:4" x14ac:dyDescent="0.25">
      <c r="D871" s="6"/>
    </row>
    <row r="872" spans="4:4" x14ac:dyDescent="0.25">
      <c r="D872" s="6"/>
    </row>
    <row r="873" spans="4:4" x14ac:dyDescent="0.25">
      <c r="D873" s="6"/>
    </row>
    <row r="874" spans="4:4" x14ac:dyDescent="0.25">
      <c r="D874" s="6"/>
    </row>
    <row r="875" spans="4:4" x14ac:dyDescent="0.25">
      <c r="D875" s="6"/>
    </row>
    <row r="876" spans="4:4" x14ac:dyDescent="0.25">
      <c r="D876" s="6"/>
    </row>
    <row r="877" spans="4:4" x14ac:dyDescent="0.25">
      <c r="D877" s="6"/>
    </row>
    <row r="878" spans="4:4" x14ac:dyDescent="0.25">
      <c r="D878" s="6"/>
    </row>
    <row r="879" spans="4:4" x14ac:dyDescent="0.25">
      <c r="D879" s="6"/>
    </row>
    <row r="880" spans="4:4" x14ac:dyDescent="0.25">
      <c r="D880" s="6"/>
    </row>
    <row r="881" spans="4:4" x14ac:dyDescent="0.25">
      <c r="D881" s="6"/>
    </row>
    <row r="882" spans="4:4" x14ac:dyDescent="0.25">
      <c r="D882" s="6"/>
    </row>
    <row r="883" spans="4:4" x14ac:dyDescent="0.25">
      <c r="D883" s="6"/>
    </row>
    <row r="884" spans="4:4" x14ac:dyDescent="0.25">
      <c r="D884" s="6"/>
    </row>
    <row r="885" spans="4:4" x14ac:dyDescent="0.25">
      <c r="D885" s="6"/>
    </row>
    <row r="886" spans="4:4" x14ac:dyDescent="0.25">
      <c r="D886" s="6"/>
    </row>
    <row r="887" spans="4:4" x14ac:dyDescent="0.25">
      <c r="D887" s="6"/>
    </row>
    <row r="888" spans="4:4" x14ac:dyDescent="0.25">
      <c r="D888" s="6"/>
    </row>
    <row r="889" spans="4:4" x14ac:dyDescent="0.25">
      <c r="D889" s="6"/>
    </row>
    <row r="890" spans="4:4" x14ac:dyDescent="0.25">
      <c r="D890" s="6"/>
    </row>
    <row r="891" spans="4:4" x14ac:dyDescent="0.25">
      <c r="D891" s="6"/>
    </row>
    <row r="892" spans="4:4" x14ac:dyDescent="0.25">
      <c r="D892" s="6"/>
    </row>
    <row r="893" spans="4:4" x14ac:dyDescent="0.25">
      <c r="D893" s="6"/>
    </row>
    <row r="894" spans="4:4" x14ac:dyDescent="0.25">
      <c r="D894" s="6"/>
    </row>
    <row r="895" spans="4:4" x14ac:dyDescent="0.25">
      <c r="D895" s="6"/>
    </row>
    <row r="896" spans="4:4" x14ac:dyDescent="0.25">
      <c r="D896" s="6"/>
    </row>
    <row r="897" spans="4:4" x14ac:dyDescent="0.25">
      <c r="D897" s="6"/>
    </row>
    <row r="898" spans="4:4" x14ac:dyDescent="0.25">
      <c r="D898" s="6"/>
    </row>
    <row r="899" spans="4:4" x14ac:dyDescent="0.25">
      <c r="D899" s="6"/>
    </row>
    <row r="900" spans="4:4" x14ac:dyDescent="0.25">
      <c r="D900" s="6"/>
    </row>
    <row r="901" spans="4:4" x14ac:dyDescent="0.25">
      <c r="D901" s="6"/>
    </row>
    <row r="902" spans="4:4" x14ac:dyDescent="0.25">
      <c r="D902" s="6"/>
    </row>
    <row r="903" spans="4:4" x14ac:dyDescent="0.25">
      <c r="D903" s="6"/>
    </row>
    <row r="904" spans="4:4" x14ac:dyDescent="0.25">
      <c r="D904" s="6"/>
    </row>
    <row r="905" spans="4:4" x14ac:dyDescent="0.25">
      <c r="D905" s="6"/>
    </row>
    <row r="906" spans="4:4" x14ac:dyDescent="0.25">
      <c r="D906" s="6"/>
    </row>
    <row r="907" spans="4:4" x14ac:dyDescent="0.25">
      <c r="D907" s="6"/>
    </row>
    <row r="908" spans="4:4" x14ac:dyDescent="0.25">
      <c r="D908" s="6"/>
    </row>
    <row r="909" spans="4:4" x14ac:dyDescent="0.25">
      <c r="D909" s="6"/>
    </row>
    <row r="910" spans="4:4" x14ac:dyDescent="0.25">
      <c r="D910" s="6"/>
    </row>
    <row r="911" spans="4:4" x14ac:dyDescent="0.25">
      <c r="D911" s="6"/>
    </row>
    <row r="912" spans="4:4" x14ac:dyDescent="0.25">
      <c r="D912" s="6"/>
    </row>
    <row r="913" spans="4:4" x14ac:dyDescent="0.25">
      <c r="D913" s="6"/>
    </row>
    <row r="914" spans="4:4" x14ac:dyDescent="0.25">
      <c r="D914" s="6"/>
    </row>
    <row r="915" spans="4:4" x14ac:dyDescent="0.25">
      <c r="D915" s="6"/>
    </row>
    <row r="916" spans="4:4" x14ac:dyDescent="0.25">
      <c r="D916" s="6"/>
    </row>
    <row r="917" spans="4:4" x14ac:dyDescent="0.25">
      <c r="D917" s="6"/>
    </row>
    <row r="918" spans="4:4" x14ac:dyDescent="0.25">
      <c r="D918" s="6"/>
    </row>
    <row r="919" spans="4:4" x14ac:dyDescent="0.25">
      <c r="D919" s="6"/>
    </row>
    <row r="920" spans="4:4" x14ac:dyDescent="0.25">
      <c r="D920" s="6"/>
    </row>
    <row r="921" spans="4:4" x14ac:dyDescent="0.25">
      <c r="D921" s="6"/>
    </row>
    <row r="922" spans="4:4" x14ac:dyDescent="0.25">
      <c r="D922" s="6"/>
    </row>
    <row r="923" spans="4:4" x14ac:dyDescent="0.25">
      <c r="D923" s="6"/>
    </row>
    <row r="924" spans="4:4" x14ac:dyDescent="0.25">
      <c r="D924" s="6"/>
    </row>
    <row r="925" spans="4:4" x14ac:dyDescent="0.25">
      <c r="D925" s="6"/>
    </row>
    <row r="926" spans="4:4" x14ac:dyDescent="0.25">
      <c r="D926" s="6"/>
    </row>
    <row r="927" spans="4:4" x14ac:dyDescent="0.25">
      <c r="D927" s="6"/>
    </row>
    <row r="928" spans="4:4" x14ac:dyDescent="0.25">
      <c r="D928" s="6"/>
    </row>
    <row r="929" spans="4:4" x14ac:dyDescent="0.25">
      <c r="D929" s="6"/>
    </row>
    <row r="930" spans="4:4" x14ac:dyDescent="0.25">
      <c r="D930" s="6"/>
    </row>
    <row r="931" spans="4:4" x14ac:dyDescent="0.25">
      <c r="D931" s="6"/>
    </row>
    <row r="932" spans="4:4" x14ac:dyDescent="0.25">
      <c r="D932" s="6"/>
    </row>
    <row r="933" spans="4:4" x14ac:dyDescent="0.25">
      <c r="D933" s="6"/>
    </row>
    <row r="934" spans="4:4" x14ac:dyDescent="0.25">
      <c r="D934" s="6"/>
    </row>
    <row r="935" spans="4:4" x14ac:dyDescent="0.25">
      <c r="D935" s="6"/>
    </row>
    <row r="936" spans="4:4" x14ac:dyDescent="0.25">
      <c r="D936" s="6"/>
    </row>
    <row r="937" spans="4:4" x14ac:dyDescent="0.25">
      <c r="D937" s="6"/>
    </row>
    <row r="938" spans="4:4" x14ac:dyDescent="0.25">
      <c r="D938" s="6"/>
    </row>
    <row r="939" spans="4:4" x14ac:dyDescent="0.25">
      <c r="D939" s="6"/>
    </row>
    <row r="940" spans="4:4" x14ac:dyDescent="0.25">
      <c r="D940" s="6"/>
    </row>
    <row r="941" spans="4:4" x14ac:dyDescent="0.25">
      <c r="D941" s="6"/>
    </row>
    <row r="942" spans="4:4" x14ac:dyDescent="0.25">
      <c r="D942" s="6"/>
    </row>
    <row r="943" spans="4:4" x14ac:dyDescent="0.25">
      <c r="D943" s="6"/>
    </row>
    <row r="944" spans="4:4" x14ac:dyDescent="0.25">
      <c r="D944" s="6"/>
    </row>
    <row r="945" spans="4:4" x14ac:dyDescent="0.25">
      <c r="D945" s="6"/>
    </row>
    <row r="946" spans="4:4" x14ac:dyDescent="0.25">
      <c r="D946" s="6"/>
    </row>
    <row r="947" spans="4:4" x14ac:dyDescent="0.25">
      <c r="D947" s="6"/>
    </row>
    <row r="948" spans="4:4" x14ac:dyDescent="0.25">
      <c r="D948" s="6"/>
    </row>
    <row r="949" spans="4:4" x14ac:dyDescent="0.25">
      <c r="D949" s="6"/>
    </row>
    <row r="950" spans="4:4" x14ac:dyDescent="0.25">
      <c r="D950" s="6"/>
    </row>
    <row r="951" spans="4:4" x14ac:dyDescent="0.25">
      <c r="D951" s="6"/>
    </row>
    <row r="952" spans="4:4" x14ac:dyDescent="0.25">
      <c r="D952" s="6"/>
    </row>
    <row r="953" spans="4:4" x14ac:dyDescent="0.25">
      <c r="D953" s="6"/>
    </row>
    <row r="954" spans="4:4" x14ac:dyDescent="0.25">
      <c r="D954" s="6"/>
    </row>
    <row r="955" spans="4:4" x14ac:dyDescent="0.25">
      <c r="D955" s="6"/>
    </row>
    <row r="956" spans="4:4" x14ac:dyDescent="0.25">
      <c r="D956" s="6"/>
    </row>
    <row r="957" spans="4:4" x14ac:dyDescent="0.25">
      <c r="D957" s="6"/>
    </row>
    <row r="958" spans="4:4" x14ac:dyDescent="0.25">
      <c r="D958" s="6"/>
    </row>
    <row r="959" spans="4:4" x14ac:dyDescent="0.25">
      <c r="D959" s="6"/>
    </row>
    <row r="960" spans="4:4" x14ac:dyDescent="0.25">
      <c r="D960" s="6"/>
    </row>
    <row r="961" spans="4:4" x14ac:dyDescent="0.25">
      <c r="D961" s="6"/>
    </row>
    <row r="962" spans="4:4" x14ac:dyDescent="0.25">
      <c r="D962" s="6"/>
    </row>
    <row r="963" spans="4:4" x14ac:dyDescent="0.25">
      <c r="D963" s="6"/>
    </row>
    <row r="964" spans="4:4" x14ac:dyDescent="0.25">
      <c r="D964" s="6"/>
    </row>
    <row r="965" spans="4:4" x14ac:dyDescent="0.25">
      <c r="D965" s="6"/>
    </row>
    <row r="966" spans="4:4" x14ac:dyDescent="0.25">
      <c r="D966" s="6"/>
    </row>
    <row r="967" spans="4:4" x14ac:dyDescent="0.25">
      <c r="D967" s="6"/>
    </row>
    <row r="968" spans="4:4" x14ac:dyDescent="0.25">
      <c r="D968" s="6"/>
    </row>
    <row r="969" spans="4:4" x14ac:dyDescent="0.25">
      <c r="D969" s="6"/>
    </row>
    <row r="970" spans="4:4" x14ac:dyDescent="0.25">
      <c r="D970" s="6"/>
    </row>
    <row r="971" spans="4:4" x14ac:dyDescent="0.25">
      <c r="D971" s="6"/>
    </row>
    <row r="972" spans="4:4" x14ac:dyDescent="0.25">
      <c r="D972" s="6"/>
    </row>
    <row r="973" spans="4:4" x14ac:dyDescent="0.25">
      <c r="D973" s="6"/>
    </row>
    <row r="974" spans="4:4" x14ac:dyDescent="0.25">
      <c r="D974" s="6"/>
    </row>
    <row r="975" spans="4:4" x14ac:dyDescent="0.25">
      <c r="D975" s="6"/>
    </row>
    <row r="976" spans="4:4" x14ac:dyDescent="0.25">
      <c r="D976" s="6"/>
    </row>
    <row r="977" spans="4:4" x14ac:dyDescent="0.25">
      <c r="D977" s="6"/>
    </row>
    <row r="978" spans="4:4" x14ac:dyDescent="0.25">
      <c r="D978" s="6"/>
    </row>
    <row r="979" spans="4:4" x14ac:dyDescent="0.25">
      <c r="D979" s="6"/>
    </row>
    <row r="980" spans="4:4" x14ac:dyDescent="0.25">
      <c r="D980" s="6"/>
    </row>
    <row r="981" spans="4:4" x14ac:dyDescent="0.25">
      <c r="D981" s="6"/>
    </row>
    <row r="982" spans="4:4" x14ac:dyDescent="0.25">
      <c r="D982" s="6"/>
    </row>
    <row r="983" spans="4:4" x14ac:dyDescent="0.25">
      <c r="D983" s="6"/>
    </row>
    <row r="984" spans="4:4" x14ac:dyDescent="0.25">
      <c r="D984" s="6"/>
    </row>
    <row r="985" spans="4:4" x14ac:dyDescent="0.25">
      <c r="D985" s="6"/>
    </row>
    <row r="986" spans="4:4" x14ac:dyDescent="0.25">
      <c r="D986" s="6"/>
    </row>
    <row r="987" spans="4:4" x14ac:dyDescent="0.25">
      <c r="D987" s="6"/>
    </row>
    <row r="988" spans="4:4" x14ac:dyDescent="0.25">
      <c r="D988" s="6"/>
    </row>
    <row r="989" spans="4:4" x14ac:dyDescent="0.25">
      <c r="D989" s="6"/>
    </row>
    <row r="990" spans="4:4" x14ac:dyDescent="0.25">
      <c r="D990" s="6"/>
    </row>
    <row r="991" spans="4:4" x14ac:dyDescent="0.25">
      <c r="D991" s="6"/>
    </row>
    <row r="992" spans="4:4" x14ac:dyDescent="0.25">
      <c r="D992" s="6"/>
    </row>
    <row r="993" spans="4:4" x14ac:dyDescent="0.25">
      <c r="D993" s="6"/>
    </row>
    <row r="994" spans="4:4" x14ac:dyDescent="0.25">
      <c r="D994" s="6"/>
    </row>
    <row r="995" spans="4:4" x14ac:dyDescent="0.25">
      <c r="D995" s="6"/>
    </row>
    <row r="996" spans="4:4" x14ac:dyDescent="0.25">
      <c r="D996" s="6"/>
    </row>
    <row r="997" spans="4:4" x14ac:dyDescent="0.25">
      <c r="D997" s="6"/>
    </row>
    <row r="998" spans="4:4" x14ac:dyDescent="0.25">
      <c r="D998" s="6"/>
    </row>
    <row r="999" spans="4:4" x14ac:dyDescent="0.25">
      <c r="D999" s="6"/>
    </row>
    <row r="1000" spans="4:4" x14ac:dyDescent="0.25">
      <c r="D1000" s="6"/>
    </row>
    <row r="1001" spans="4:4" x14ac:dyDescent="0.25">
      <c r="D1001" s="6"/>
    </row>
    <row r="1002" spans="4:4" x14ac:dyDescent="0.25">
      <c r="D1002" s="6"/>
    </row>
    <row r="1003" spans="4:4" x14ac:dyDescent="0.25">
      <c r="D1003" s="6"/>
    </row>
    <row r="1004" spans="4:4" x14ac:dyDescent="0.25">
      <c r="D1004" s="6"/>
    </row>
    <row r="1005" spans="4:4" x14ac:dyDescent="0.25">
      <c r="D1005" s="6"/>
    </row>
    <row r="1006" spans="4:4" x14ac:dyDescent="0.25">
      <c r="D1006" s="6"/>
    </row>
    <row r="1007" spans="4:4" x14ac:dyDescent="0.25">
      <c r="D1007" s="6"/>
    </row>
    <row r="1008" spans="4:4" x14ac:dyDescent="0.25">
      <c r="D1008" s="6"/>
    </row>
    <row r="1009" spans="4:4" x14ac:dyDescent="0.25">
      <c r="D1009" s="6"/>
    </row>
    <row r="1010" spans="4:4" x14ac:dyDescent="0.25">
      <c r="D1010" s="6"/>
    </row>
    <row r="1011" spans="4:4" x14ac:dyDescent="0.25">
      <c r="D1011" s="6"/>
    </row>
    <row r="1012" spans="4:4" x14ac:dyDescent="0.25">
      <c r="D1012" s="6"/>
    </row>
    <row r="1013" spans="4:4" x14ac:dyDescent="0.25">
      <c r="D1013" s="6"/>
    </row>
    <row r="1014" spans="4:4" x14ac:dyDescent="0.25">
      <c r="D1014" s="6"/>
    </row>
    <row r="1015" spans="4:4" x14ac:dyDescent="0.25">
      <c r="D1015" s="6"/>
    </row>
    <row r="1016" spans="4:4" x14ac:dyDescent="0.25">
      <c r="D1016" s="6"/>
    </row>
    <row r="1017" spans="4:4" x14ac:dyDescent="0.25">
      <c r="D1017" s="6"/>
    </row>
    <row r="1018" spans="4:4" x14ac:dyDescent="0.25">
      <c r="D1018" s="6"/>
    </row>
    <row r="1019" spans="4:4" x14ac:dyDescent="0.25">
      <c r="D1019" s="6"/>
    </row>
    <row r="1020" spans="4:4" x14ac:dyDescent="0.25">
      <c r="D1020" s="6"/>
    </row>
    <row r="1021" spans="4:4" x14ac:dyDescent="0.25">
      <c r="D1021" s="6"/>
    </row>
    <row r="1022" spans="4:4" x14ac:dyDescent="0.25">
      <c r="D1022" s="6"/>
    </row>
    <row r="1023" spans="4:4" x14ac:dyDescent="0.25">
      <c r="D1023" s="6"/>
    </row>
    <row r="1024" spans="4:4" x14ac:dyDescent="0.25">
      <c r="D1024" s="6"/>
    </row>
    <row r="1025" spans="4:4" x14ac:dyDescent="0.25">
      <c r="D1025" s="6"/>
    </row>
    <row r="1026" spans="4:4" x14ac:dyDescent="0.25">
      <c r="D1026" s="6"/>
    </row>
    <row r="1027" spans="4:4" x14ac:dyDescent="0.25">
      <c r="D1027" s="6"/>
    </row>
    <row r="1028" spans="4:4" x14ac:dyDescent="0.25">
      <c r="D1028" s="6"/>
    </row>
    <row r="1029" spans="4:4" x14ac:dyDescent="0.25">
      <c r="D1029" s="6"/>
    </row>
    <row r="1030" spans="4:4" x14ac:dyDescent="0.25">
      <c r="D1030" s="6"/>
    </row>
    <row r="1031" spans="4:4" x14ac:dyDescent="0.25">
      <c r="D1031" s="6"/>
    </row>
    <row r="1032" spans="4:4" x14ac:dyDescent="0.25">
      <c r="D1032" s="6"/>
    </row>
    <row r="1033" spans="4:4" x14ac:dyDescent="0.25">
      <c r="D1033" s="6"/>
    </row>
    <row r="1034" spans="4:4" x14ac:dyDescent="0.25">
      <c r="D1034" s="6"/>
    </row>
    <row r="1035" spans="4:4" x14ac:dyDescent="0.25">
      <c r="D1035" s="6"/>
    </row>
    <row r="1036" spans="4:4" x14ac:dyDescent="0.25">
      <c r="D1036" s="6"/>
    </row>
    <row r="1037" spans="4:4" x14ac:dyDescent="0.25">
      <c r="D1037" s="6"/>
    </row>
    <row r="1038" spans="4:4" x14ac:dyDescent="0.25">
      <c r="D1038" s="6"/>
    </row>
    <row r="1039" spans="4:4" x14ac:dyDescent="0.25">
      <c r="D1039" s="6"/>
    </row>
    <row r="1040" spans="4:4" x14ac:dyDescent="0.25">
      <c r="D1040" s="6"/>
    </row>
    <row r="1041" spans="4:4" x14ac:dyDescent="0.25">
      <c r="D1041" s="6"/>
    </row>
    <row r="1042" spans="4:4" x14ac:dyDescent="0.25">
      <c r="D1042" s="6"/>
    </row>
    <row r="1043" spans="4:4" x14ac:dyDescent="0.25">
      <c r="D1043" s="6"/>
    </row>
    <row r="1044" spans="4:4" x14ac:dyDescent="0.25">
      <c r="D1044" s="6"/>
    </row>
    <row r="1045" spans="4:4" x14ac:dyDescent="0.25">
      <c r="D1045" s="6"/>
    </row>
    <row r="1046" spans="4:4" x14ac:dyDescent="0.25">
      <c r="D1046" s="6"/>
    </row>
    <row r="1047" spans="4:4" x14ac:dyDescent="0.25">
      <c r="D1047" s="6"/>
    </row>
    <row r="1048" spans="4:4" x14ac:dyDescent="0.25">
      <c r="D1048" s="6"/>
    </row>
    <row r="1049" spans="4:4" x14ac:dyDescent="0.25">
      <c r="D1049" s="6"/>
    </row>
    <row r="1050" spans="4:4" x14ac:dyDescent="0.25">
      <c r="D1050" s="6"/>
    </row>
    <row r="1051" spans="4:4" x14ac:dyDescent="0.25">
      <c r="D1051" s="6"/>
    </row>
    <row r="1052" spans="4:4" x14ac:dyDescent="0.25">
      <c r="D1052" s="6"/>
    </row>
    <row r="1053" spans="4:4" x14ac:dyDescent="0.25">
      <c r="D1053" s="6"/>
    </row>
    <row r="1054" spans="4:4" x14ac:dyDescent="0.25">
      <c r="D1054" s="6"/>
    </row>
    <row r="1055" spans="4:4" x14ac:dyDescent="0.25">
      <c r="D1055" s="6"/>
    </row>
    <row r="1056" spans="4:4" x14ac:dyDescent="0.25">
      <c r="D1056" s="6"/>
    </row>
    <row r="1057" spans="4:4" x14ac:dyDescent="0.25">
      <c r="D1057" s="6"/>
    </row>
    <row r="1058" spans="4:4" x14ac:dyDescent="0.25">
      <c r="D1058" s="6"/>
    </row>
    <row r="1059" spans="4:4" x14ac:dyDescent="0.25">
      <c r="D1059" s="6"/>
    </row>
    <row r="1060" spans="4:4" x14ac:dyDescent="0.25">
      <c r="D1060" s="6"/>
    </row>
    <row r="1061" spans="4:4" x14ac:dyDescent="0.25">
      <c r="D1061" s="6"/>
    </row>
    <row r="1062" spans="4:4" x14ac:dyDescent="0.25">
      <c r="D1062" s="6"/>
    </row>
    <row r="1063" spans="4:4" x14ac:dyDescent="0.25">
      <c r="D1063" s="6"/>
    </row>
    <row r="1064" spans="4:4" x14ac:dyDescent="0.25">
      <c r="D1064" s="6"/>
    </row>
    <row r="1065" spans="4:4" x14ac:dyDescent="0.25">
      <c r="D1065" s="6"/>
    </row>
    <row r="1066" spans="4:4" x14ac:dyDescent="0.25">
      <c r="D1066" s="6"/>
    </row>
    <row r="1067" spans="4:4" x14ac:dyDescent="0.25">
      <c r="D1067" s="6"/>
    </row>
    <row r="1068" spans="4:4" x14ac:dyDescent="0.25">
      <c r="D1068" s="6"/>
    </row>
    <row r="1069" spans="4:4" x14ac:dyDescent="0.25">
      <c r="D1069" s="6"/>
    </row>
    <row r="1070" spans="4:4" x14ac:dyDescent="0.25">
      <c r="D1070" s="6"/>
    </row>
    <row r="1071" spans="4:4" x14ac:dyDescent="0.25">
      <c r="D1071" s="6"/>
    </row>
    <row r="1072" spans="4:4" x14ac:dyDescent="0.25">
      <c r="D1072" s="6"/>
    </row>
    <row r="1073" spans="4:4" x14ac:dyDescent="0.25">
      <c r="D1073" s="6"/>
    </row>
    <row r="1074" spans="4:4" x14ac:dyDescent="0.25">
      <c r="D1074" s="6"/>
    </row>
    <row r="1075" spans="4:4" x14ac:dyDescent="0.25">
      <c r="D1075" s="6"/>
    </row>
    <row r="1076" spans="4:4" x14ac:dyDescent="0.25">
      <c r="D1076" s="6"/>
    </row>
    <row r="1077" spans="4:4" x14ac:dyDescent="0.25">
      <c r="D1077" s="6"/>
    </row>
    <row r="1078" spans="4:4" x14ac:dyDescent="0.25">
      <c r="D1078" s="6"/>
    </row>
    <row r="1079" spans="4:4" x14ac:dyDescent="0.25">
      <c r="D1079" s="6"/>
    </row>
    <row r="1080" spans="4:4" x14ac:dyDescent="0.25">
      <c r="D1080" s="6"/>
    </row>
    <row r="1081" spans="4:4" x14ac:dyDescent="0.25">
      <c r="D1081" s="6"/>
    </row>
    <row r="1082" spans="4:4" x14ac:dyDescent="0.25">
      <c r="D1082" s="6"/>
    </row>
    <row r="1083" spans="4:4" x14ac:dyDescent="0.25">
      <c r="D1083" s="6"/>
    </row>
    <row r="1084" spans="4:4" x14ac:dyDescent="0.25">
      <c r="D1084" s="6"/>
    </row>
    <row r="1085" spans="4:4" x14ac:dyDescent="0.25">
      <c r="D1085" s="6"/>
    </row>
    <row r="1086" spans="4:4" x14ac:dyDescent="0.25">
      <c r="D1086" s="6"/>
    </row>
    <row r="1087" spans="4:4" x14ac:dyDescent="0.25">
      <c r="D1087" s="6"/>
    </row>
    <row r="1088" spans="4:4" x14ac:dyDescent="0.25">
      <c r="D1088" s="6"/>
    </row>
    <row r="1089" spans="4:4" x14ac:dyDescent="0.25">
      <c r="D1089" s="6"/>
    </row>
    <row r="1090" spans="4:4" x14ac:dyDescent="0.25">
      <c r="D1090" s="6"/>
    </row>
    <row r="1091" spans="4:4" x14ac:dyDescent="0.25">
      <c r="D1091" s="6"/>
    </row>
    <row r="1092" spans="4:4" x14ac:dyDescent="0.25">
      <c r="D1092" s="6"/>
    </row>
    <row r="1093" spans="4:4" x14ac:dyDescent="0.25">
      <c r="D1093" s="6"/>
    </row>
    <row r="1094" spans="4:4" x14ac:dyDescent="0.25">
      <c r="D1094" s="6"/>
    </row>
    <row r="1095" spans="4:4" x14ac:dyDescent="0.25">
      <c r="D1095" s="6"/>
    </row>
    <row r="1096" spans="4:4" x14ac:dyDescent="0.25">
      <c r="D1096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31753-6975-49E2-B6C9-EB2B4E7EDBBD}">
  <sheetPr codeName="Sheet7">
    <tabColor rgb="FFFF0000"/>
  </sheetPr>
  <dimension ref="A2:B36"/>
  <sheetViews>
    <sheetView workbookViewId="0"/>
  </sheetViews>
  <sheetFormatPr defaultRowHeight="15" x14ac:dyDescent="0.25"/>
  <cols>
    <col min="1" max="1" width="13.42578125" bestFit="1" customWidth="1"/>
    <col min="2" max="2" width="20.5703125" bestFit="1" customWidth="1"/>
  </cols>
  <sheetData>
    <row r="2" spans="1:2" x14ac:dyDescent="0.25">
      <c r="A2" s="10" t="s">
        <v>16</v>
      </c>
      <c r="B2" t="s">
        <v>22</v>
      </c>
    </row>
    <row r="3" spans="1:2" x14ac:dyDescent="0.25">
      <c r="A3" s="11" t="s">
        <v>17</v>
      </c>
      <c r="B3" s="12">
        <v>5.4371999999999998</v>
      </c>
    </row>
    <row r="4" spans="1:2" x14ac:dyDescent="0.25">
      <c r="A4" s="11" t="s">
        <v>18</v>
      </c>
      <c r="B4" s="12">
        <v>5.2587000000000002</v>
      </c>
    </row>
    <row r="5" spans="1:2" x14ac:dyDescent="0.25">
      <c r="A5" s="11" t="s">
        <v>19</v>
      </c>
      <c r="B5" s="12">
        <v>5.2877999999999998</v>
      </c>
    </row>
    <row r="6" spans="1:2" x14ac:dyDescent="0.25">
      <c r="A6" s="11" t="s">
        <v>20</v>
      </c>
      <c r="B6" s="12">
        <v>5.1654999999999998</v>
      </c>
    </row>
    <row r="7" spans="1:2" x14ac:dyDescent="0.25">
      <c r="A7" s="11" t="s">
        <v>21</v>
      </c>
      <c r="B7" s="12">
        <v>5.0654000000000003</v>
      </c>
    </row>
    <row r="8" spans="1:2" x14ac:dyDescent="0.25">
      <c r="A8" s="11" t="s">
        <v>15</v>
      </c>
      <c r="B8" s="12">
        <v>5.4371999999999998</v>
      </c>
    </row>
    <row r="30" spans="1:2" x14ac:dyDescent="0.25">
      <c r="A30" s="10" t="s">
        <v>16</v>
      </c>
      <c r="B30" t="s">
        <v>23</v>
      </c>
    </row>
    <row r="31" spans="1:2" x14ac:dyDescent="0.25">
      <c r="A31" s="11" t="s">
        <v>17</v>
      </c>
      <c r="B31" s="12">
        <v>5.1837999999999997</v>
      </c>
    </row>
    <row r="32" spans="1:2" x14ac:dyDescent="0.25">
      <c r="A32" s="11" t="s">
        <v>18</v>
      </c>
      <c r="B32" s="12">
        <v>5.1382000000000003</v>
      </c>
    </row>
    <row r="33" spans="1:2" x14ac:dyDescent="0.25">
      <c r="A33" s="11" t="s">
        <v>19</v>
      </c>
      <c r="B33" s="12">
        <v>5.1596000000000002</v>
      </c>
    </row>
    <row r="34" spans="1:2" x14ac:dyDescent="0.25">
      <c r="A34" s="11" t="s">
        <v>20</v>
      </c>
      <c r="B34" s="12">
        <v>4.9539</v>
      </c>
    </row>
    <row r="35" spans="1:2" x14ac:dyDescent="0.25">
      <c r="A35" s="11" t="s">
        <v>21</v>
      </c>
      <c r="B35" s="12">
        <v>4.8973000000000004</v>
      </c>
    </row>
    <row r="36" spans="1:2" x14ac:dyDescent="0.25">
      <c r="A36" s="11" t="s">
        <v>15</v>
      </c>
      <c r="B36" s="12">
        <v>4.8973000000000004</v>
      </c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4C7A9-CD4F-47D6-A225-85053B608200}">
  <sheetPr codeName="Sheet5"/>
  <dimension ref="A2:D26"/>
  <sheetViews>
    <sheetView workbookViewId="0">
      <selection activeCell="H20" sqref="H19:H20"/>
    </sheetView>
  </sheetViews>
  <sheetFormatPr defaultRowHeight="15" x14ac:dyDescent="0.25"/>
  <cols>
    <col min="1" max="1" width="13.42578125" bestFit="1" customWidth="1"/>
    <col min="2" max="2" width="11" bestFit="1" customWidth="1"/>
    <col min="3" max="3" width="16.42578125" bestFit="1" customWidth="1"/>
    <col min="4" max="4" width="15.7109375" bestFit="1" customWidth="1"/>
    <col min="5" max="9" width="7" bestFit="1" customWidth="1"/>
    <col min="10" max="10" width="5" bestFit="1" customWidth="1"/>
    <col min="11" max="13" width="7" bestFit="1" customWidth="1"/>
    <col min="14" max="14" width="6" bestFit="1" customWidth="1"/>
    <col min="15" max="28" width="7" bestFit="1" customWidth="1"/>
    <col min="29" max="29" width="6" bestFit="1" customWidth="1"/>
    <col min="30" max="30" width="5" bestFit="1" customWidth="1"/>
    <col min="31" max="36" width="7" bestFit="1" customWidth="1"/>
    <col min="37" max="37" width="6" bestFit="1" customWidth="1"/>
    <col min="38" max="39" width="7" bestFit="1" customWidth="1"/>
    <col min="40" max="40" width="6" bestFit="1" customWidth="1"/>
    <col min="41" max="41" width="7" bestFit="1" customWidth="1"/>
    <col min="42" max="42" width="4.5703125" bestFit="1" customWidth="1"/>
    <col min="43" max="49" width="7" bestFit="1" customWidth="1"/>
    <col min="50" max="51" width="6" bestFit="1" customWidth="1"/>
    <col min="52" max="59" width="7" bestFit="1" customWidth="1"/>
    <col min="60" max="60" width="6" bestFit="1" customWidth="1"/>
    <col min="61" max="82" width="7" bestFit="1" customWidth="1"/>
    <col min="83" max="83" width="6" bestFit="1" customWidth="1"/>
    <col min="84" max="87" width="7" bestFit="1" customWidth="1"/>
    <col min="88" max="88" width="11.28515625" bestFit="1" customWidth="1"/>
    <col min="89" max="89" width="10.42578125" bestFit="1" customWidth="1"/>
    <col min="90" max="90" width="11.28515625" bestFit="1" customWidth="1"/>
  </cols>
  <sheetData>
    <row r="2" spans="1:4" x14ac:dyDescent="0.25">
      <c r="A2" s="10" t="s">
        <v>16</v>
      </c>
      <c r="B2" t="s">
        <v>27</v>
      </c>
      <c r="C2" t="s">
        <v>29</v>
      </c>
      <c r="D2" t="s">
        <v>30</v>
      </c>
    </row>
    <row r="3" spans="1:4" x14ac:dyDescent="0.25">
      <c r="A3" s="11" t="s">
        <v>17</v>
      </c>
      <c r="B3" s="12">
        <v>5.3380238095238095</v>
      </c>
      <c r="C3" s="12">
        <v>5.1837999999999997</v>
      </c>
      <c r="D3" s="12">
        <v>5.4371999999999998</v>
      </c>
    </row>
    <row r="4" spans="1:4" x14ac:dyDescent="0.25">
      <c r="A4" s="11" t="s">
        <v>18</v>
      </c>
      <c r="B4" s="12">
        <v>5.200616666666666</v>
      </c>
      <c r="C4" s="12">
        <v>5.1382000000000003</v>
      </c>
      <c r="D4" s="12">
        <v>5.2587000000000002</v>
      </c>
    </row>
    <row r="5" spans="1:4" x14ac:dyDescent="0.25">
      <c r="A5" s="11" t="s">
        <v>19</v>
      </c>
      <c r="B5" s="12">
        <v>5.2315863636363638</v>
      </c>
      <c r="C5" s="12">
        <v>5.1596000000000002</v>
      </c>
      <c r="D5" s="12">
        <v>5.2877999999999998</v>
      </c>
    </row>
    <row r="6" spans="1:4" x14ac:dyDescent="0.25">
      <c r="A6" s="11" t="s">
        <v>20</v>
      </c>
      <c r="B6" s="12">
        <v>5.033075000000002</v>
      </c>
      <c r="C6" s="12">
        <v>4.9539</v>
      </c>
      <c r="D6" s="12">
        <v>5.1654999999999998</v>
      </c>
    </row>
    <row r="7" spans="1:4" x14ac:dyDescent="0.25">
      <c r="A7" s="11" t="s">
        <v>21</v>
      </c>
      <c r="B7" s="12">
        <v>4.944509090909091</v>
      </c>
      <c r="C7" s="12">
        <v>4.8973000000000004</v>
      </c>
      <c r="D7" s="12">
        <v>5.0654000000000003</v>
      </c>
    </row>
    <row r="8" spans="1:4" x14ac:dyDescent="0.25">
      <c r="A8" s="11" t="s">
        <v>33</v>
      </c>
      <c r="B8" s="12">
        <v>4</v>
      </c>
      <c r="C8" s="12">
        <v>4</v>
      </c>
      <c r="D8" s="12">
        <v>4</v>
      </c>
    </row>
    <row r="9" spans="1:4" x14ac:dyDescent="0.25">
      <c r="A9" s="11" t="s">
        <v>15</v>
      </c>
      <c r="B9" s="12">
        <v>5.1597376344086028</v>
      </c>
      <c r="C9" s="12">
        <v>4</v>
      </c>
      <c r="D9" s="12">
        <v>5.4371999999999998</v>
      </c>
    </row>
    <row r="20" spans="1:4" x14ac:dyDescent="0.25">
      <c r="A20" s="10" t="s">
        <v>16</v>
      </c>
      <c r="B20" t="s">
        <v>28</v>
      </c>
      <c r="C20" t="s">
        <v>31</v>
      </c>
      <c r="D20" t="s">
        <v>32</v>
      </c>
    </row>
    <row r="21" spans="1:4" x14ac:dyDescent="0.25">
      <c r="A21" s="11" t="s">
        <v>17</v>
      </c>
      <c r="B21" s="12">
        <v>6.2659666666666665</v>
      </c>
      <c r="C21" s="12">
        <v>6.1925999999999997</v>
      </c>
      <c r="D21" s="12">
        <v>6.3898000000000001</v>
      </c>
    </row>
    <row r="22" spans="1:4" x14ac:dyDescent="0.25">
      <c r="A22" s="11" t="s">
        <v>18</v>
      </c>
      <c r="B22" s="12">
        <v>6.1472222222222221</v>
      </c>
      <c r="C22" s="12">
        <v>6.0631000000000004</v>
      </c>
      <c r="D22" s="12">
        <v>6.2016</v>
      </c>
    </row>
    <row r="23" spans="1:4" x14ac:dyDescent="0.25">
      <c r="A23" s="11" t="s">
        <v>19</v>
      </c>
      <c r="B23" s="12">
        <v>6.0446</v>
      </c>
      <c r="C23" s="12">
        <v>5.9680999999999997</v>
      </c>
      <c r="D23" s="12">
        <v>6.1238000000000001</v>
      </c>
    </row>
    <row r="24" spans="1:4" x14ac:dyDescent="0.25">
      <c r="A24" s="11" t="s">
        <v>20</v>
      </c>
      <c r="B24" s="12">
        <v>5.8900249999999996</v>
      </c>
      <c r="C24" s="12">
        <v>5.7984999999999998</v>
      </c>
      <c r="D24" s="12">
        <v>5.9935</v>
      </c>
    </row>
    <row r="25" spans="1:4" x14ac:dyDescent="0.25">
      <c r="A25" s="11" t="s">
        <v>21</v>
      </c>
      <c r="B25" s="12">
        <v>5.792809090909091</v>
      </c>
      <c r="C25" s="12">
        <v>5.7465000000000002</v>
      </c>
      <c r="D25" s="12">
        <v>5.89</v>
      </c>
    </row>
    <row r="26" spans="1:4" x14ac:dyDescent="0.25">
      <c r="A26" s="11" t="s">
        <v>15</v>
      </c>
      <c r="B26" s="12">
        <v>6.0514989130434769</v>
      </c>
      <c r="C26" s="12">
        <v>5.7465000000000002</v>
      </c>
      <c r="D26" s="12">
        <v>6.3898000000000001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D2E62-3D4D-45CB-A4AE-0C78158207C6}">
  <sheetPr codeName="Sheet4"/>
  <dimension ref="A3:B30"/>
  <sheetViews>
    <sheetView workbookViewId="0">
      <selection activeCell="U20" sqref="U20"/>
    </sheetView>
  </sheetViews>
  <sheetFormatPr defaultRowHeight="15" x14ac:dyDescent="0.25"/>
  <cols>
    <col min="1" max="1" width="13.42578125" bestFit="1" customWidth="1"/>
    <col min="2" max="2" width="20.5703125" bestFit="1" customWidth="1"/>
    <col min="3" max="6" width="7" bestFit="1" customWidth="1"/>
    <col min="7" max="7" width="11.28515625" bestFit="1" customWidth="1"/>
  </cols>
  <sheetData>
    <row r="3" spans="1:2" x14ac:dyDescent="0.25">
      <c r="A3" s="10" t="s">
        <v>16</v>
      </c>
      <c r="B3" t="s">
        <v>22</v>
      </c>
    </row>
    <row r="4" spans="1:2" x14ac:dyDescent="0.25">
      <c r="A4" s="11" t="s">
        <v>17</v>
      </c>
      <c r="B4" s="12">
        <v>6.3898000000000001</v>
      </c>
    </row>
    <row r="5" spans="1:2" x14ac:dyDescent="0.25">
      <c r="A5" s="11" t="s">
        <v>18</v>
      </c>
      <c r="B5" s="12">
        <v>6.2016</v>
      </c>
    </row>
    <row r="6" spans="1:2" x14ac:dyDescent="0.25">
      <c r="A6" s="11" t="s">
        <v>19</v>
      </c>
      <c r="B6" s="12">
        <v>6.1238000000000001</v>
      </c>
    </row>
    <row r="7" spans="1:2" x14ac:dyDescent="0.25">
      <c r="A7" s="11" t="s">
        <v>20</v>
      </c>
      <c r="B7" s="12">
        <v>5.9935</v>
      </c>
    </row>
    <row r="8" spans="1:2" x14ac:dyDescent="0.25">
      <c r="A8" s="11" t="s">
        <v>21</v>
      </c>
      <c r="B8" s="12">
        <v>5.89</v>
      </c>
    </row>
    <row r="9" spans="1:2" x14ac:dyDescent="0.25">
      <c r="A9" s="11" t="s">
        <v>15</v>
      </c>
      <c r="B9" s="12">
        <v>6.3898000000000001</v>
      </c>
    </row>
    <row r="24" spans="1:2" x14ac:dyDescent="0.25">
      <c r="A24" s="10" t="s">
        <v>16</v>
      </c>
      <c r="B24" t="s">
        <v>23</v>
      </c>
    </row>
    <row r="25" spans="1:2" x14ac:dyDescent="0.25">
      <c r="A25" s="11" t="s">
        <v>17</v>
      </c>
      <c r="B25" s="12">
        <v>6.1925999999999997</v>
      </c>
    </row>
    <row r="26" spans="1:2" x14ac:dyDescent="0.25">
      <c r="A26" s="11" t="s">
        <v>18</v>
      </c>
      <c r="B26" s="12">
        <v>6.0631000000000004</v>
      </c>
    </row>
    <row r="27" spans="1:2" x14ac:dyDescent="0.25">
      <c r="A27" s="11" t="s">
        <v>19</v>
      </c>
      <c r="B27" s="12">
        <v>5.9680999999999997</v>
      </c>
    </row>
    <row r="28" spans="1:2" x14ac:dyDescent="0.25">
      <c r="A28" s="11" t="s">
        <v>20</v>
      </c>
      <c r="B28" s="12">
        <v>5.7984999999999998</v>
      </c>
    </row>
    <row r="29" spans="1:2" x14ac:dyDescent="0.25">
      <c r="A29" s="11" t="s">
        <v>21</v>
      </c>
      <c r="B29" s="12">
        <v>5.7465000000000002</v>
      </c>
    </row>
    <row r="30" spans="1:2" x14ac:dyDescent="0.25">
      <c r="A30" s="11" t="s">
        <v>15</v>
      </c>
      <c r="B30" s="12">
        <v>5.7465000000000002</v>
      </c>
    </row>
  </sheetData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Main_Macros</vt:lpstr>
      <vt:lpstr>Euro</vt:lpstr>
      <vt:lpstr>Dolar</vt:lpstr>
      <vt:lpstr>Currency_Graphs</vt:lpstr>
      <vt:lpstr>Pivot_tables</vt:lpstr>
      <vt:lpstr>Graphs</vt:lpstr>
      <vt:lpstr>dolar_currency</vt:lpstr>
      <vt:lpstr>euro_currency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Hernandes</dc:creator>
  <cp:lastModifiedBy>Ricardo Hernandes</cp:lastModifiedBy>
  <dcterms:created xsi:type="dcterms:W3CDTF">2026-05-14T01:05:41Z</dcterms:created>
  <dcterms:modified xsi:type="dcterms:W3CDTF">2026-06-02T23:23:03Z</dcterms:modified>
</cp:coreProperties>
</file>